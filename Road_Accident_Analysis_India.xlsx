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2.xml" ContentType="application/vnd.openxmlformats-officedocument.spreadsheetml.pivot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pivotTables/pivotTable3.xml" ContentType="application/vnd.openxmlformats-officedocument.spreadsheetml.pivot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3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4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044b94f6c47ab325/Desktop/Project/"/>
    </mc:Choice>
  </mc:AlternateContent>
  <xr:revisionPtr revIDLastSave="639" documentId="11_F25DC773A252ABDACC10486A41DA6D485ADE58F3" xr6:coauthVersionLast="47" xr6:coauthVersionMax="47" xr10:uidLastSave="{6D7A6C66-9C79-40CC-BAE7-334486F19ED5}"/>
  <bookViews>
    <workbookView minimized="1" xWindow="9360" yWindow="2940" windowWidth="7800" windowHeight="7170" firstSheet="1" activeTab="3" xr2:uid="{00000000-000D-0000-FFFF-FFFF00000000}"/>
  </bookViews>
  <sheets>
    <sheet name="Pivot_Accidents" sheetId="7" r:id="rId1"/>
    <sheet name="Cleaned_Accidents" sheetId="2" r:id="rId2"/>
    <sheet name="Pivot_Fatalities" sheetId="8" r:id="rId3"/>
    <sheet name="Cleaned_Fatalities" sheetId="5" r:id="rId4"/>
    <sheet name="Pivot_Collisions" sheetId="9" r:id="rId5"/>
    <sheet name="Cleaned_Collisions" sheetId="6" r:id="rId6"/>
    <sheet name="Analysis" sheetId="3" r:id="rId7"/>
    <sheet name="SQL_Charts" sheetId="11" r:id="rId8"/>
    <sheet name="Sheet1" sheetId="12" r:id="rId9"/>
  </sheets>
  <definedNames>
    <definedName name="ExternalData_1" localSheetId="1" hidden="1">Cleaned_Accidents!$A$1:$H$38</definedName>
    <definedName name="ExternalData_1" localSheetId="5" hidden="1">Cleaned_Collisions!$A$1:$J$10</definedName>
    <definedName name="ExternalData_1" localSheetId="3" hidden="1">Cleaned_Fatalities!$A$1:$G$38</definedName>
  </definedNames>
  <calcPr calcId="191029" iterateDelta="1E-4"/>
  <pivotCaches>
    <pivotCache cacheId="0" r:id="rId10"/>
    <pivotCache cacheId="1" r:id="rId11"/>
    <pivotCache cacheId="2" r:id="rId1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3" l="1"/>
  <c r="D8" i="3"/>
  <c r="D6" i="3"/>
  <c r="D5" i="3"/>
  <c r="D4" i="3"/>
  <c r="C8" i="3"/>
  <c r="C7" i="3"/>
  <c r="C5" i="3"/>
  <c r="C6" i="3"/>
  <c r="C4" i="3"/>
  <c r="O5" i="3" l="1"/>
  <c r="O7" i="3"/>
  <c r="O17" i="3"/>
  <c r="O13" i="3"/>
  <c r="O15" i="3"/>
  <c r="O11" i="3"/>
  <c r="O9" i="3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B98D042-98F5-4D4C-AFD8-2103B45CC68B}" keepAlive="1" name="Query - road-accidents-2024-states-fatalities" description="Connection to the 'road-accidents-2024-states-fatalities' query in the workbook." type="5" refreshedVersion="8" background="1" saveData="1">
    <dbPr connection="Provider=Microsoft.Mashup.OleDb.1;Data Source=$Workbook$;Location=road-accidents-2024-states-fatalities;Extended Properties=&quot;&quot;" command="SELECT * FROM [road-accidents-2024-states-fatalities]"/>
  </connection>
  <connection id="2" xr16:uid="{3A90CA40-876B-4B71-B3B8-9125477E12B9}" keepAlive="1" name="Query - road-accidents-2024-states-road-accidents" description="Connection to the 'road-accidents-2024-states-road-accidents' query in the workbook." type="5" refreshedVersion="8" background="1" saveData="1">
    <dbPr connection="Provider=Microsoft.Mashup.OleDb.1;Data Source=$Workbook$;Location=road-accidents-2024-states-road-accidents;Extended Properties=&quot;&quot;" command="SELECT * FROM [road-accidents-2024-states-road-accidents]"/>
  </connection>
  <connection id="3" xr16:uid="{F15EB9AF-C3B5-417D-B069-711E712C31DD}" keepAlive="1" name="Query - road-accidents-2024-type-of-collision" description="Connection to the 'road-accidents-2024-type-of-collision' query in the workbook." type="5" refreshedVersion="8" background="1" saveData="1">
    <dbPr connection="Provider=Microsoft.Mashup.OleDb.1;Data Source=$Workbook$;Location=road-accidents-2024-type-of-collision;Extended Properties=&quot;&quot;" command="SELECT * FROM [road-accidents-2024-type-of-collision]"/>
  </connection>
</connections>
</file>

<file path=xl/sharedStrings.xml><?xml version="1.0" encoding="utf-8"?>
<sst xmlns="http://schemas.openxmlformats.org/spreadsheetml/2006/main" count="281" uniqueCount="102">
  <si>
    <t>All India</t>
  </si>
  <si>
    <t>Puducherry</t>
  </si>
  <si>
    <t>Lakshadweep</t>
  </si>
  <si>
    <t>Ladakh</t>
  </si>
  <si>
    <t>J &amp; K #</t>
  </si>
  <si>
    <t>Delhi</t>
  </si>
  <si>
    <t>Dadra &amp; Nagar Haveli and Daman &amp; Diu</t>
  </si>
  <si>
    <t>Chandigarh</t>
  </si>
  <si>
    <t>Andaman &amp; Nicobar Islands</t>
  </si>
  <si>
    <t>West Bengal</t>
  </si>
  <si>
    <t>Uttar Pradesh</t>
  </si>
  <si>
    <t>Uttarakhand</t>
  </si>
  <si>
    <t>Tripura</t>
  </si>
  <si>
    <t>Telangana</t>
  </si>
  <si>
    <t>Tamil Nadu</t>
  </si>
  <si>
    <t>Sikkim</t>
  </si>
  <si>
    <t>Rajasthan</t>
  </si>
  <si>
    <t>Punjab</t>
  </si>
  <si>
    <t>Odisha</t>
  </si>
  <si>
    <t>Nagaland</t>
  </si>
  <si>
    <t>Mizoram</t>
  </si>
  <si>
    <t>Meghalaya</t>
  </si>
  <si>
    <t>Manipur</t>
  </si>
  <si>
    <t>Maharashtra</t>
  </si>
  <si>
    <t>Madhya Pradesh</t>
  </si>
  <si>
    <t>Kerala</t>
  </si>
  <si>
    <t>Karnataka</t>
  </si>
  <si>
    <t>Jharkhand</t>
  </si>
  <si>
    <t>Himachal Pradesh</t>
  </si>
  <si>
    <t>Haryana</t>
  </si>
  <si>
    <t>Gujarat</t>
  </si>
  <si>
    <t>Goa</t>
  </si>
  <si>
    <t>Chhattisgarh</t>
  </si>
  <si>
    <t>Bihar</t>
  </si>
  <si>
    <t>Assam</t>
  </si>
  <si>
    <t>Arunachal Pradesh</t>
  </si>
  <si>
    <t>Andhra Pradesh</t>
  </si>
  <si>
    <t>% change from 2023 to 2024</t>
  </si>
  <si>
    <t>Change from 2023 to 2024</t>
  </si>
  <si>
    <t>2024 Accidents</t>
  </si>
  <si>
    <t>2023 Accidents</t>
  </si>
  <si>
    <t>2022 Accidents</t>
  </si>
  <si>
    <t>2021 Accidents</t>
  </si>
  <si>
    <t>2020 Accidents</t>
  </si>
  <si>
    <t>State</t>
  </si>
  <si>
    <t>2024 Killed</t>
  </si>
  <si>
    <t>2023 Killed</t>
  </si>
  <si>
    <t>2022 Killed</t>
  </si>
  <si>
    <t>2021 Killed</t>
  </si>
  <si>
    <t>2020 Killed</t>
  </si>
  <si>
    <t>Others</t>
  </si>
  <si>
    <t>Head on collision</t>
  </si>
  <si>
    <t>Vehicle overturn</t>
  </si>
  <si>
    <t>Fixed object</t>
  </si>
  <si>
    <t>Run off Road</t>
  </si>
  <si>
    <t>Hit from side</t>
  </si>
  <si>
    <t>Hit from Back</t>
  </si>
  <si>
    <t>With parked Vehicle</t>
  </si>
  <si>
    <t>Hit and Run</t>
  </si>
  <si>
    <t>%Change-Injured</t>
  </si>
  <si>
    <t>%Change-killed</t>
  </si>
  <si>
    <t>%Change-Accidents</t>
  </si>
  <si>
    <t>2024-injured</t>
  </si>
  <si>
    <t>2024-Killed</t>
  </si>
  <si>
    <t>2024-Accidents</t>
  </si>
  <si>
    <t>2023-injured</t>
  </si>
  <si>
    <t>2023-Killed</t>
  </si>
  <si>
    <t>2023-Accidents</t>
  </si>
  <si>
    <t>Type of collision</t>
  </si>
  <si>
    <t>Road Accident Analysis</t>
  </si>
  <si>
    <t>Year</t>
  </si>
  <si>
    <t>Accidents</t>
  </si>
  <si>
    <t>Fatalities</t>
  </si>
  <si>
    <t>Row Labels</t>
  </si>
  <si>
    <t>Grand Total</t>
  </si>
  <si>
    <t>Sum of 2024 Accidents</t>
  </si>
  <si>
    <t>Top 10 States by Road Accidents — 2024</t>
  </si>
  <si>
    <t>Sum of 2024 Killed</t>
  </si>
  <si>
    <t>Top 10 States by Road Fatalities — 2024</t>
  </si>
  <si>
    <t>Sum of 2024-Accidents</t>
  </si>
  <si>
    <t>Road Accidents by Collision Type — 2024</t>
  </si>
  <si>
    <t>EDA Calculations</t>
  </si>
  <si>
    <t>Metric</t>
  </si>
  <si>
    <t>Value</t>
  </si>
  <si>
    <t>Accident Growth (2020–2024)</t>
  </si>
  <si>
    <t>Reported road accidents increased by 31.04% from 2020 to 2024.</t>
  </si>
  <si>
    <t>Fatality Growth (2020–2024)</t>
  </si>
  <si>
    <t>Insight</t>
  </si>
  <si>
    <t>Growth Difference (Accidents vs Fatalities)</t>
  </si>
  <si>
    <t>Road accidents grew 3.01 percentage points faster than fatalities between 2020 and 2024.</t>
  </si>
  <si>
    <t>Top 10 States' Share of 2024 Accidents</t>
  </si>
  <si>
    <t>The top 10 states accounted for 78.78% of India's reported road accidents in 2024.</t>
  </si>
  <si>
    <t>Top 10 States' Share of 2024 Fatalities</t>
  </si>
  <si>
    <t>The top 10 states accounted for 73.72% of India's reported road fatalities in 2024.</t>
  </si>
  <si>
    <t>Top 3 Collision Types' Share of 2024 Accidents</t>
  </si>
  <si>
    <t>The three largest collision categories accounted for 57.04% of reported road accidents in 2024.</t>
  </si>
  <si>
    <t>Fatalities per 100 Accidents (2024)</t>
  </si>
  <si>
    <t>There were 36.33 reported fatalities for every 100 reported road accidents in 2024.</t>
  </si>
  <si>
    <t>Reported road fatalities increased by 28.03% from 2020 to 2024.</t>
  </si>
  <si>
    <t>Total Accidents</t>
  </si>
  <si>
    <t>Accidents in 2024</t>
  </si>
  <si>
    <t>Total Fatalities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</si>
</sst>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 * #,##0_ ;_ * \-#,##0_ ;_ * &quot;-&quot;_ ;_ @_ 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4" tint="0.79998168889431442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60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2" fillId="0" borderId="0" xfId="0" applyFont="1" applyAlignment="1">
      <alignment horizontal="center"/>
    </xf>
    <xf numFmtId="0" fontId="0" fillId="0" borderId="1" xfId="0" applyBorder="1" applyAlignment="1">
      <alignment horizontal="left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0" fillId="0" borderId="5" xfId="0" applyBorder="1" applyAlignment="1">
      <alignment horizontal="left"/>
    </xf>
    <xf numFmtId="41" fontId="0" fillId="0" borderId="6" xfId="1" applyFont="1" applyBorder="1"/>
    <xf numFmtId="0" fontId="0" fillId="0" borderId="7" xfId="0" applyBorder="1" applyAlignment="1">
      <alignment horizontal="left"/>
    </xf>
    <xf numFmtId="41" fontId="0" fillId="0" borderId="8" xfId="1" applyFont="1" applyBorder="1"/>
    <xf numFmtId="0" fontId="0" fillId="0" borderId="9" xfId="0" applyBorder="1" applyAlignment="1">
      <alignment horizontal="left"/>
    </xf>
    <xf numFmtId="41" fontId="0" fillId="0" borderId="10" xfId="1" applyFont="1" applyBorder="1"/>
    <xf numFmtId="0" fontId="2" fillId="0" borderId="1" xfId="0" applyFont="1" applyBorder="1" applyAlignment="1">
      <alignment horizontal="center"/>
    </xf>
    <xf numFmtId="0" fontId="0" fillId="0" borderId="1" xfId="0" applyBorder="1"/>
    <xf numFmtId="10" fontId="0" fillId="0" borderId="1" xfId="0" applyNumberFormat="1" applyBorder="1" applyAlignment="1">
      <alignment horizontal="left"/>
    </xf>
    <xf numFmtId="2" fontId="0" fillId="0" borderId="1" xfId="0" applyNumberFormat="1" applyBorder="1" applyAlignment="1">
      <alignment horizontal="left"/>
    </xf>
    <xf numFmtId="0" fontId="0" fillId="0" borderId="7" xfId="0" applyBorder="1"/>
    <xf numFmtId="0" fontId="0" fillId="0" borderId="9" xfId="0" applyBorder="1"/>
    <xf numFmtId="0" fontId="0" fillId="0" borderId="5" xfId="0" applyBorder="1"/>
    <xf numFmtId="0" fontId="2" fillId="0" borderId="3" xfId="0" applyFont="1" applyBorder="1" applyAlignment="1">
      <alignment horizontal="right" vertical="top"/>
    </xf>
    <xf numFmtId="0" fontId="2" fillId="0" borderId="1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14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7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2" fillId="0" borderId="0" xfId="0" applyFont="1"/>
    <xf numFmtId="0" fontId="2" fillId="0" borderId="3" xfId="0" applyFont="1" applyBorder="1" applyAlignment="1">
      <alignment horizontal="center" vertical="center"/>
    </xf>
    <xf numFmtId="0" fontId="0" fillId="0" borderId="7" xfId="0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0" fillId="0" borderId="8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5" xfId="0" applyBorder="1" applyAlignment="1">
      <alignment vertical="center" wrapText="1"/>
    </xf>
    <xf numFmtId="0" fontId="0" fillId="0" borderId="6" xfId="0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41" fontId="0" fillId="0" borderId="2" xfId="1" applyFont="1" applyBorder="1" applyAlignment="1">
      <alignment horizontal="center"/>
    </xf>
    <xf numFmtId="41" fontId="0" fillId="0" borderId="1" xfId="1" applyFont="1" applyBorder="1" applyAlignment="1">
      <alignment horizontal="center"/>
    </xf>
    <xf numFmtId="41" fontId="0" fillId="0" borderId="11" xfId="1" applyFont="1" applyBorder="1" applyAlignment="1">
      <alignment horizontal="center"/>
    </xf>
    <xf numFmtId="0" fontId="4" fillId="2" borderId="1" xfId="0" applyFont="1" applyFill="1" applyBorder="1"/>
    <xf numFmtId="0" fontId="0" fillId="3" borderId="1" xfId="0" applyFill="1" applyBorder="1"/>
    <xf numFmtId="0" fontId="0" fillId="4" borderId="1" xfId="0" applyFill="1" applyBorder="1"/>
    <xf numFmtId="0" fontId="4" fillId="2" borderId="1" xfId="0" applyFont="1" applyFill="1" applyBorder="1" applyAlignment="1">
      <alignment horizontal="center" vertical="center"/>
    </xf>
    <xf numFmtId="3" fontId="0" fillId="3" borderId="1" xfId="0" applyNumberFormat="1" applyFill="1" applyBorder="1"/>
    <xf numFmtId="3" fontId="0" fillId="4" borderId="1" xfId="0" applyNumberFormat="1" applyFill="1" applyBorder="1"/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12" xfId="0" applyFont="1" applyBorder="1" applyAlignment="1">
      <alignment horizontal="center"/>
    </xf>
  </cellXfs>
  <cellStyles count="2">
    <cellStyle name="Comma [0]" xfId="1" builtinId="6"/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3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pivotCacheDefinition" Target="pivotCache/pivotCacheDefinition1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[Road_Accident_Analysis_India.xlsx]Pivot_Accidents!PivotTable1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Pivot_Accidents!$B$3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Pivot_Accidents!$A$4:$A$40</c:f>
              <c:strCache>
                <c:ptCount val="36"/>
                <c:pt idx="0">
                  <c:v>Tamil Nadu</c:v>
                </c:pt>
                <c:pt idx="1">
                  <c:v>Madhya Pradesh</c:v>
                </c:pt>
                <c:pt idx="2">
                  <c:v>Kerala</c:v>
                </c:pt>
                <c:pt idx="3">
                  <c:v>Uttar Pradesh</c:v>
                </c:pt>
                <c:pt idx="4">
                  <c:v>Karnataka</c:v>
                </c:pt>
                <c:pt idx="5">
                  <c:v>Maharashtra</c:v>
                </c:pt>
                <c:pt idx="6">
                  <c:v>Telangana</c:v>
                </c:pt>
                <c:pt idx="7">
                  <c:v>Rajasthan</c:v>
                </c:pt>
                <c:pt idx="8">
                  <c:v>Andhra Pradesh</c:v>
                </c:pt>
                <c:pt idx="9">
                  <c:v>Gujarat</c:v>
                </c:pt>
                <c:pt idx="10">
                  <c:v>Chhattisgarh</c:v>
                </c:pt>
                <c:pt idx="11">
                  <c:v>West Bengal</c:v>
                </c:pt>
                <c:pt idx="12">
                  <c:v>Odisha</c:v>
                </c:pt>
                <c:pt idx="13">
                  <c:v>Bihar</c:v>
                </c:pt>
                <c:pt idx="14">
                  <c:v>Haryana</c:v>
                </c:pt>
                <c:pt idx="15">
                  <c:v>Assam</c:v>
                </c:pt>
                <c:pt idx="16">
                  <c:v>Punjab</c:v>
                </c:pt>
                <c:pt idx="17">
                  <c:v>J &amp; K #</c:v>
                </c:pt>
                <c:pt idx="18">
                  <c:v>Delhi</c:v>
                </c:pt>
                <c:pt idx="19">
                  <c:v>Jharkhand</c:v>
                </c:pt>
                <c:pt idx="20">
                  <c:v>Goa</c:v>
                </c:pt>
                <c:pt idx="21">
                  <c:v>Himachal Pradesh</c:v>
                </c:pt>
                <c:pt idx="22">
                  <c:v>Uttarakhand</c:v>
                </c:pt>
                <c:pt idx="23">
                  <c:v>Puducherry</c:v>
                </c:pt>
                <c:pt idx="24">
                  <c:v>Tripura</c:v>
                </c:pt>
                <c:pt idx="25">
                  <c:v>Manipur</c:v>
                </c:pt>
                <c:pt idx="26">
                  <c:v>Arunachal Pradesh</c:v>
                </c:pt>
                <c:pt idx="27">
                  <c:v>Meghalaya</c:v>
                </c:pt>
                <c:pt idx="28">
                  <c:v>Ladakh</c:v>
                </c:pt>
                <c:pt idx="29">
                  <c:v>Chandigarh</c:v>
                </c:pt>
                <c:pt idx="30">
                  <c:v>Dadra &amp; Nagar Haveli and Daman &amp; Diu</c:v>
                </c:pt>
                <c:pt idx="31">
                  <c:v>Sikkim</c:v>
                </c:pt>
                <c:pt idx="32">
                  <c:v>Andaman &amp; Nicobar Islands</c:v>
                </c:pt>
                <c:pt idx="33">
                  <c:v>Nagaland</c:v>
                </c:pt>
                <c:pt idx="34">
                  <c:v>Mizoram</c:v>
                </c:pt>
                <c:pt idx="35">
                  <c:v>Lakshadweep</c:v>
                </c:pt>
              </c:strCache>
            </c:strRef>
          </c:cat>
          <c:val>
            <c:numRef>
              <c:f>Pivot_Accidents!$B$4:$B$40</c:f>
              <c:numCache>
                <c:formatCode>General</c:formatCode>
                <c:ptCount val="36"/>
                <c:pt idx="0">
                  <c:v>67526</c:v>
                </c:pt>
                <c:pt idx="1">
                  <c:v>56669</c:v>
                </c:pt>
                <c:pt idx="2">
                  <c:v>48834</c:v>
                </c:pt>
                <c:pt idx="3">
                  <c:v>46052</c:v>
                </c:pt>
                <c:pt idx="4">
                  <c:v>43062</c:v>
                </c:pt>
                <c:pt idx="5">
                  <c:v>36118</c:v>
                </c:pt>
                <c:pt idx="6">
                  <c:v>25986</c:v>
                </c:pt>
                <c:pt idx="7">
                  <c:v>24838</c:v>
                </c:pt>
                <c:pt idx="8">
                  <c:v>19557</c:v>
                </c:pt>
                <c:pt idx="9">
                  <c:v>15588</c:v>
                </c:pt>
                <c:pt idx="10">
                  <c:v>14857</c:v>
                </c:pt>
                <c:pt idx="11">
                  <c:v>13702</c:v>
                </c:pt>
                <c:pt idx="12">
                  <c:v>12375</c:v>
                </c:pt>
                <c:pt idx="13">
                  <c:v>11610</c:v>
                </c:pt>
                <c:pt idx="14">
                  <c:v>9806</c:v>
                </c:pt>
                <c:pt idx="15">
                  <c:v>7848</c:v>
                </c:pt>
                <c:pt idx="16">
                  <c:v>6063</c:v>
                </c:pt>
                <c:pt idx="17">
                  <c:v>5808</c:v>
                </c:pt>
                <c:pt idx="18">
                  <c:v>5657</c:v>
                </c:pt>
                <c:pt idx="19">
                  <c:v>5196</c:v>
                </c:pt>
                <c:pt idx="20">
                  <c:v>2682</c:v>
                </c:pt>
                <c:pt idx="21">
                  <c:v>2156</c:v>
                </c:pt>
                <c:pt idx="22">
                  <c:v>1747</c:v>
                </c:pt>
                <c:pt idx="23">
                  <c:v>1431</c:v>
                </c:pt>
                <c:pt idx="24">
                  <c:v>578</c:v>
                </c:pt>
                <c:pt idx="25">
                  <c:v>299</c:v>
                </c:pt>
                <c:pt idx="26">
                  <c:v>277</c:v>
                </c:pt>
                <c:pt idx="27">
                  <c:v>269</c:v>
                </c:pt>
                <c:pt idx="28">
                  <c:v>264</c:v>
                </c:pt>
                <c:pt idx="29">
                  <c:v>169</c:v>
                </c:pt>
                <c:pt idx="30">
                  <c:v>152</c:v>
                </c:pt>
                <c:pt idx="31">
                  <c:v>149</c:v>
                </c:pt>
                <c:pt idx="32">
                  <c:v>135</c:v>
                </c:pt>
                <c:pt idx="33">
                  <c:v>129</c:v>
                </c:pt>
                <c:pt idx="34">
                  <c:v>118</c:v>
                </c:pt>
                <c:pt idx="3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3D-43D6-B692-9F98275E01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22893263"/>
        <c:axId val="2106762032"/>
      </c:barChart>
      <c:catAx>
        <c:axId val="4228932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6762032"/>
        <c:crosses val="autoZero"/>
        <c:auto val="1"/>
        <c:lblAlgn val="ctr"/>
        <c:lblOffset val="100"/>
        <c:noMultiLvlLbl val="0"/>
      </c:catAx>
      <c:valAx>
        <c:axId val="21067620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28932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>
                <a:solidFill>
                  <a:schemeClr val="tx1"/>
                </a:solidFill>
              </a:rPr>
              <a:t>Top 10 States by Road Accidents — 2024</a:t>
            </a:r>
            <a:endParaRPr lang="en-IN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Analysis!$C$19:$C$28</c:f>
              <c:strCache>
                <c:ptCount val="10"/>
                <c:pt idx="0">
                  <c:v>Tamil Nadu</c:v>
                </c:pt>
                <c:pt idx="1">
                  <c:v>Madhya Pradesh</c:v>
                </c:pt>
                <c:pt idx="2">
                  <c:v>Kerala</c:v>
                </c:pt>
                <c:pt idx="3">
                  <c:v>Uttar Pradesh</c:v>
                </c:pt>
                <c:pt idx="4">
                  <c:v>Karnataka</c:v>
                </c:pt>
                <c:pt idx="5">
                  <c:v>Maharashtra</c:v>
                </c:pt>
                <c:pt idx="6">
                  <c:v>Telangana</c:v>
                </c:pt>
                <c:pt idx="7">
                  <c:v>Rajasthan</c:v>
                </c:pt>
                <c:pt idx="8">
                  <c:v>Andhra Pradesh</c:v>
                </c:pt>
                <c:pt idx="9">
                  <c:v>Gujarat</c:v>
                </c:pt>
              </c:strCache>
            </c:strRef>
          </c:cat>
          <c:val>
            <c:numRef>
              <c:f>Analysis!$D$19:$D$28</c:f>
              <c:numCache>
                <c:formatCode>_(* #,##0_);_(* \(#,##0\);_(* "-"_);_(@_)</c:formatCode>
                <c:ptCount val="10"/>
                <c:pt idx="0">
                  <c:v>67526</c:v>
                </c:pt>
                <c:pt idx="1">
                  <c:v>56669</c:v>
                </c:pt>
                <c:pt idx="2">
                  <c:v>48834</c:v>
                </c:pt>
                <c:pt idx="3">
                  <c:v>46052</c:v>
                </c:pt>
                <c:pt idx="4">
                  <c:v>43062</c:v>
                </c:pt>
                <c:pt idx="5">
                  <c:v>36118</c:v>
                </c:pt>
                <c:pt idx="6">
                  <c:v>25986</c:v>
                </c:pt>
                <c:pt idx="7">
                  <c:v>24838</c:v>
                </c:pt>
                <c:pt idx="8">
                  <c:v>19557</c:v>
                </c:pt>
                <c:pt idx="9">
                  <c:v>15588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96-4F17-8A14-2558A150C77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422863103"/>
        <c:axId val="2106825872"/>
      </c:barChart>
      <c:catAx>
        <c:axId val="4228631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6825872"/>
        <c:crosses val="autoZero"/>
        <c:auto val="1"/>
        <c:lblAlgn val="ctr"/>
        <c:lblOffset val="100"/>
        <c:noMultiLvlLbl val="0"/>
      </c:catAx>
      <c:valAx>
        <c:axId val="21068258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28631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>
                <a:solidFill>
                  <a:schemeClr val="tx1"/>
                </a:solidFill>
              </a:rPr>
              <a:t>Top 10 States by Road Fatalities — 2024</a:t>
            </a:r>
            <a:endParaRPr lang="en-IN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Analysis!$C$36:$C$45</c:f>
              <c:strCache>
                <c:ptCount val="10"/>
                <c:pt idx="0">
                  <c:v>Uttar Pradesh</c:v>
                </c:pt>
                <c:pt idx="1">
                  <c:v>Tamil Nadu</c:v>
                </c:pt>
                <c:pt idx="2">
                  <c:v>Maharashtra</c:v>
                </c:pt>
                <c:pt idx="3">
                  <c:v>Madhya Pradesh</c:v>
                </c:pt>
                <c:pt idx="4">
                  <c:v>Karnataka</c:v>
                </c:pt>
                <c:pt idx="5">
                  <c:v>Rajasthan</c:v>
                </c:pt>
                <c:pt idx="6">
                  <c:v>Bihar</c:v>
                </c:pt>
                <c:pt idx="7">
                  <c:v>Andhra Pradesh</c:v>
                </c:pt>
                <c:pt idx="8">
                  <c:v>Telangana</c:v>
                </c:pt>
                <c:pt idx="9">
                  <c:v>Gujarat</c:v>
                </c:pt>
              </c:strCache>
            </c:strRef>
          </c:cat>
          <c:val>
            <c:numRef>
              <c:f>Analysis!$D$36:$D$45</c:f>
              <c:numCache>
                <c:formatCode>_(* #,##0_);_(* \(#,##0\);_(* "-"_);_(@_)</c:formatCode>
                <c:ptCount val="10"/>
                <c:pt idx="0">
                  <c:v>24118</c:v>
                </c:pt>
                <c:pt idx="1">
                  <c:v>18449</c:v>
                </c:pt>
                <c:pt idx="2">
                  <c:v>15715</c:v>
                </c:pt>
                <c:pt idx="3">
                  <c:v>14791</c:v>
                </c:pt>
                <c:pt idx="4">
                  <c:v>12390</c:v>
                </c:pt>
                <c:pt idx="5">
                  <c:v>11790</c:v>
                </c:pt>
                <c:pt idx="6">
                  <c:v>9347</c:v>
                </c:pt>
                <c:pt idx="7">
                  <c:v>8346</c:v>
                </c:pt>
                <c:pt idx="8">
                  <c:v>7949</c:v>
                </c:pt>
                <c:pt idx="9">
                  <c:v>7717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F2-4DAA-8C2C-5EEB376C54E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469360431"/>
        <c:axId val="465959055"/>
      </c:barChart>
      <c:catAx>
        <c:axId val="4693604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5959055"/>
        <c:crosses val="autoZero"/>
        <c:auto val="1"/>
        <c:lblAlgn val="ctr"/>
        <c:lblOffset val="100"/>
        <c:noMultiLvlLbl val="0"/>
      </c:catAx>
      <c:valAx>
        <c:axId val="4659590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93604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900" b="1" i="0" u="none" strike="noStrike" baseline="0">
                <a:solidFill>
                  <a:schemeClr val="tx1"/>
                </a:solidFill>
              </a:rPr>
              <a:t>Accidents &amp; Fatalities Trend — 2020–2024</a:t>
            </a:r>
            <a:endParaRPr lang="en-IN" sz="900" b="1" baseline="0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30547861188809305"/>
          <c:y val="3.870659610171679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Analysis!$C$3</c:f>
              <c:strCache>
                <c:ptCount val="1"/>
                <c:pt idx="0">
                  <c:v>Accidents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Analysis!$B$4:$B$8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Analysis!$C$4:$C$8</c:f>
              <c:numCache>
                <c:formatCode>_(* #,##0_);_(* \(#,##0\);_(* "-"_);_(@_)</c:formatCode>
                <c:ptCount val="5"/>
                <c:pt idx="0">
                  <c:v>744361</c:v>
                </c:pt>
                <c:pt idx="1">
                  <c:v>824860</c:v>
                </c:pt>
                <c:pt idx="2">
                  <c:v>922621</c:v>
                </c:pt>
                <c:pt idx="3">
                  <c:v>961165</c:v>
                </c:pt>
                <c:pt idx="4">
                  <c:v>975414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0D0-44AC-BBE8-154BCC470748}"/>
            </c:ext>
          </c:extLst>
        </c:ser>
        <c:ser>
          <c:idx val="2"/>
          <c:order val="2"/>
          <c:tx>
            <c:strRef>
              <c:f>Analysis!$D$3</c:f>
              <c:strCache>
                <c:ptCount val="1"/>
                <c:pt idx="0">
                  <c:v>Fatalities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Analysis!$B$4:$B$8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Analysis!$D$4:$D$8</c:f>
              <c:numCache>
                <c:formatCode>_(* #,##0_);_(* \(#,##0\);_(* "-"_);_(@_)</c:formatCode>
                <c:ptCount val="5"/>
                <c:pt idx="0">
                  <c:v>138383</c:v>
                </c:pt>
                <c:pt idx="1">
                  <c:v>153972</c:v>
                </c:pt>
                <c:pt idx="2">
                  <c:v>168491</c:v>
                </c:pt>
                <c:pt idx="3">
                  <c:v>172890</c:v>
                </c:pt>
                <c:pt idx="4">
                  <c:v>177175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0D0-44AC-BBE8-154BCC4707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20754335"/>
        <c:axId val="465987375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Analysis!$B$3</c15:sqref>
                        </c15:formulaRef>
                      </c:ext>
                    </c:extLst>
                    <c:strCache>
                      <c:ptCount val="1"/>
                      <c:pt idx="0">
                        <c:v>Year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Analysis!$B$4:$B$8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2020</c:v>
                      </c:pt>
                      <c:pt idx="1">
                        <c:v>2021</c:v>
                      </c:pt>
                      <c:pt idx="2">
                        <c:v>2022</c:v>
                      </c:pt>
                      <c:pt idx="3">
                        <c:v>2023</c:v>
                      </c:pt>
                      <c:pt idx="4">
                        <c:v>2024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Analysis!$B$4:$B$8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2020</c:v>
                      </c:pt>
                      <c:pt idx="1">
                        <c:v>2021</c:v>
                      </c:pt>
                      <c:pt idx="2">
                        <c:v>2022</c:v>
                      </c:pt>
                      <c:pt idx="3">
                        <c:v>2023</c:v>
                      </c:pt>
                      <c:pt idx="4">
                        <c:v>2024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80D0-44AC-BBE8-154BCC470748}"/>
                  </c:ext>
                </c:extLst>
              </c15:ser>
            </c15:filteredLineSeries>
          </c:ext>
        </c:extLst>
      </c:lineChart>
      <c:catAx>
        <c:axId val="5207543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5987375"/>
        <c:crosses val="autoZero"/>
        <c:auto val="1"/>
        <c:lblAlgn val="ctr"/>
        <c:lblOffset val="100"/>
        <c:noMultiLvlLbl val="0"/>
      </c:catAx>
      <c:valAx>
        <c:axId val="465987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07543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>
                <a:solidFill>
                  <a:schemeClr val="tx1"/>
                </a:solidFill>
              </a:rPr>
              <a:t>Road Accidents by Collision Type — 2024</a:t>
            </a:r>
            <a:endParaRPr lang="en-IN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Analysis!$C$53:$C$61</c:f>
              <c:strCache>
                <c:ptCount val="9"/>
                <c:pt idx="0">
                  <c:v>Hit from Back</c:v>
                </c:pt>
                <c:pt idx="1">
                  <c:v>Head on collision</c:v>
                </c:pt>
                <c:pt idx="2">
                  <c:v>Others</c:v>
                </c:pt>
                <c:pt idx="3">
                  <c:v>Hit from side</c:v>
                </c:pt>
                <c:pt idx="4">
                  <c:v>Hit and Run</c:v>
                </c:pt>
                <c:pt idx="5">
                  <c:v>Run off Road</c:v>
                </c:pt>
                <c:pt idx="6">
                  <c:v>Vehicle overturn</c:v>
                </c:pt>
                <c:pt idx="7">
                  <c:v>Fixed object</c:v>
                </c:pt>
                <c:pt idx="8">
                  <c:v>With parked Vehicle</c:v>
                </c:pt>
              </c:strCache>
            </c:strRef>
          </c:cat>
          <c:val>
            <c:numRef>
              <c:f>Analysis!$D$53:$D$61</c:f>
              <c:numCache>
                <c:formatCode>_(* #,##0_);_(* \(#,##0\);_(* "-"_);_(@_)</c:formatCode>
                <c:ptCount val="9"/>
                <c:pt idx="0">
                  <c:v>113907</c:v>
                </c:pt>
                <c:pt idx="1">
                  <c:v>84429</c:v>
                </c:pt>
                <c:pt idx="2">
                  <c:v>79853</c:v>
                </c:pt>
                <c:pt idx="3">
                  <c:v>77112</c:v>
                </c:pt>
                <c:pt idx="4">
                  <c:v>68584</c:v>
                </c:pt>
                <c:pt idx="5">
                  <c:v>19082</c:v>
                </c:pt>
                <c:pt idx="6">
                  <c:v>17296</c:v>
                </c:pt>
                <c:pt idx="7">
                  <c:v>16246</c:v>
                </c:pt>
                <c:pt idx="8">
                  <c:v>11198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1D-4328-9159-B353376E69B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520706543"/>
        <c:axId val="466034895"/>
      </c:barChart>
      <c:catAx>
        <c:axId val="520706543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6034895"/>
        <c:crosses val="autoZero"/>
        <c:auto val="1"/>
        <c:lblAlgn val="ctr"/>
        <c:lblOffset val="100"/>
        <c:noMultiLvlLbl val="0"/>
      </c:catAx>
      <c:valAx>
        <c:axId val="466034895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07065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Analysis!$D$69</c:f>
              <c:strCache>
                <c:ptCount val="1"/>
                <c:pt idx="0">
                  <c:v>2024 Accidents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382-4E98-A9CE-09FF9119165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382-4E98-A9CE-09FF9119165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382-4E98-A9CE-09FF9119165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8382-4E98-A9CE-09FF9119165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8382-4E98-A9CE-09FF91191651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8382-4E98-A9CE-09FF91191651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8382-4E98-A9CE-09FF91191651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8382-4E98-A9CE-09FF91191651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8382-4E98-A9CE-09FF91191651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8382-4E98-A9CE-09FF91191651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8382-4E98-A9CE-09FF91191651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8382-4E98-A9CE-09FF91191651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8382-4E98-A9CE-09FF91191651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8382-4E98-A9CE-09FF91191651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8382-4E98-A9CE-09FF91191651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8382-4E98-A9CE-09FF91191651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8382-4E98-A9CE-09FF91191651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8382-4E98-A9CE-09FF91191651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8382-4E98-A9CE-09FF91191651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8382-4E98-A9CE-09FF91191651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9-8382-4E98-A9CE-09FF91191651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B-8382-4E98-A9CE-09FF91191651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D-8382-4E98-A9CE-09FF91191651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F-8382-4E98-A9CE-09FF91191651}"/>
              </c:ext>
            </c:extLst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1-8382-4E98-A9CE-09FF91191651}"/>
              </c:ext>
            </c:extLst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3-8382-4E98-A9CE-09FF91191651}"/>
              </c:ext>
            </c:extLst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5-8382-4E98-A9CE-09FF91191651}"/>
              </c:ext>
            </c:extLst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7-8382-4E98-A9CE-09FF91191651}"/>
              </c:ext>
            </c:extLst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9-8382-4E98-A9CE-09FF91191651}"/>
              </c:ext>
            </c:extLst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B-8382-4E98-A9CE-09FF91191651}"/>
              </c:ext>
            </c:extLst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D-8382-4E98-A9CE-09FF91191651}"/>
              </c:ext>
            </c:extLst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F-8382-4E98-A9CE-09FF91191651}"/>
              </c:ext>
            </c:extLst>
          </c:dPt>
          <c:dPt>
            <c:idx val="32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1-8382-4E98-A9CE-09FF91191651}"/>
              </c:ext>
            </c:extLst>
          </c:dPt>
          <c:dPt>
            <c:idx val="33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3-8382-4E98-A9CE-09FF91191651}"/>
              </c:ext>
            </c:extLst>
          </c:dPt>
          <c:dPt>
            <c:idx val="34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5-8382-4E98-A9CE-09FF91191651}"/>
              </c:ext>
            </c:extLst>
          </c:dPt>
          <c:dPt>
            <c:idx val="35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7-8382-4E98-A9CE-09FF91191651}"/>
              </c:ext>
            </c:extLst>
          </c:dPt>
          <c:dPt>
            <c:idx val="3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9-8382-4E98-A9CE-09FF9119165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Analysis!$C$70:$C$106</c:f>
              <c:strCache>
                <c:ptCount val="5"/>
                <c:pt idx="0">
                  <c:v>Tamil Nadu</c:v>
                </c:pt>
                <c:pt idx="1">
                  <c:v>Madhya Pradesh</c:v>
                </c:pt>
                <c:pt idx="2">
                  <c:v>Kerala</c:v>
                </c:pt>
                <c:pt idx="3">
                  <c:v>Uttar Pradesh</c:v>
                </c:pt>
                <c:pt idx="4">
                  <c:v>Karnataka</c:v>
                </c:pt>
              </c:strCache>
            </c:strRef>
          </c:cat>
          <c:val>
            <c:numRef>
              <c:f>Analysis!$D$70:$D$106</c:f>
              <c:numCache>
                <c:formatCode>#,##0</c:formatCode>
                <c:ptCount val="37"/>
                <c:pt idx="0">
                  <c:v>67526</c:v>
                </c:pt>
                <c:pt idx="1">
                  <c:v>56669</c:v>
                </c:pt>
                <c:pt idx="2">
                  <c:v>48834</c:v>
                </c:pt>
                <c:pt idx="3">
                  <c:v>46052</c:v>
                </c:pt>
                <c:pt idx="4">
                  <c:v>43062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BE-46D3-A9E7-0F8748D0CF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/>
              <a:t>Top 5 states with the highest accidents in 2024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Analysis!$D$69</c:f>
              <c:strCache>
                <c:ptCount val="1"/>
                <c:pt idx="0">
                  <c:v>2024 Accidents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9AA-4FB8-A487-FFC8F1160B3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9AA-4FB8-A487-FFC8F1160B3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9AA-4FB8-A487-FFC8F1160B3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9AA-4FB8-A487-FFC8F1160B3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D9AA-4FB8-A487-FFC8F1160B3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Analysis!$C$70:$C$74</c:f>
              <c:strCache>
                <c:ptCount val="5"/>
                <c:pt idx="0">
                  <c:v>Tamil Nadu</c:v>
                </c:pt>
                <c:pt idx="1">
                  <c:v>Madhya Pradesh</c:v>
                </c:pt>
                <c:pt idx="2">
                  <c:v>Kerala</c:v>
                </c:pt>
                <c:pt idx="3">
                  <c:v>Uttar Pradesh</c:v>
                </c:pt>
                <c:pt idx="4">
                  <c:v>Karnataka</c:v>
                </c:pt>
              </c:strCache>
            </c:strRef>
          </c:cat>
          <c:val>
            <c:numRef>
              <c:f>Analysis!$D$70:$D$74</c:f>
              <c:numCache>
                <c:formatCode>#,##0</c:formatCode>
                <c:ptCount val="5"/>
                <c:pt idx="0">
                  <c:v>67526</c:v>
                </c:pt>
                <c:pt idx="1">
                  <c:v>56669</c:v>
                </c:pt>
                <c:pt idx="2">
                  <c:v>48834</c:v>
                </c:pt>
                <c:pt idx="3">
                  <c:v>46052</c:v>
                </c:pt>
                <c:pt idx="4">
                  <c:v>43062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C2-47D6-B111-982D807449D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Road</a:t>
            </a:r>
            <a:r>
              <a:rPr lang="en-IN" b="1" baseline="0"/>
              <a:t> Accidents Trend (2020 - 2024)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SQL_Charts!$C$2</c:f>
              <c:strCache>
                <c:ptCount val="1"/>
                <c:pt idx="0">
                  <c:v>Total Accidents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SQL_Charts!$B$3:$B$7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SQL_Charts!$C$3:$C$7</c:f>
              <c:numCache>
                <c:formatCode>General</c:formatCode>
                <c:ptCount val="5"/>
                <c:pt idx="0">
                  <c:v>372181</c:v>
                </c:pt>
                <c:pt idx="1">
                  <c:v>412432</c:v>
                </c:pt>
                <c:pt idx="2">
                  <c:v>461312</c:v>
                </c:pt>
                <c:pt idx="3">
                  <c:v>480583</c:v>
                </c:pt>
                <c:pt idx="4">
                  <c:v>487707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59A-42FA-9C2A-CF1BFE2F14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19195759"/>
        <c:axId val="195715230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SQL_Charts!$B$2</c15:sqref>
                        </c15:formulaRef>
                      </c:ext>
                    </c:extLst>
                    <c:strCache>
                      <c:ptCount val="1"/>
                      <c:pt idx="0">
                        <c:v>Year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SQL_Charts!$B$3:$B$7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2020</c:v>
                      </c:pt>
                      <c:pt idx="1">
                        <c:v>2021</c:v>
                      </c:pt>
                      <c:pt idx="2">
                        <c:v>2022</c:v>
                      </c:pt>
                      <c:pt idx="3">
                        <c:v>2023</c:v>
                      </c:pt>
                      <c:pt idx="4">
                        <c:v>2024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SQL_Charts!$B$3:$B$7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2020</c:v>
                      </c:pt>
                      <c:pt idx="1">
                        <c:v>2021</c:v>
                      </c:pt>
                      <c:pt idx="2">
                        <c:v>2022</c:v>
                      </c:pt>
                      <c:pt idx="3">
                        <c:v>2023</c:v>
                      </c:pt>
                      <c:pt idx="4">
                        <c:v>2024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359A-42FA-9C2A-CF1BFE2F1404}"/>
                  </c:ext>
                </c:extLst>
              </c15:ser>
            </c15:filteredLineSeries>
          </c:ext>
        </c:extLst>
      </c:lineChart>
      <c:catAx>
        <c:axId val="19191957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7152303"/>
        <c:crosses val="autoZero"/>
        <c:auto val="1"/>
        <c:lblAlgn val="ctr"/>
        <c:lblOffset val="100"/>
        <c:noMultiLvlLbl val="0"/>
      </c:catAx>
      <c:valAx>
        <c:axId val="1957152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91957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/>
              <a:t>Top 10 States by Road Accidents in 2024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SQL_Charts!$K$2</c:f>
              <c:strCache>
                <c:ptCount val="1"/>
                <c:pt idx="0">
                  <c:v>Accidents in 2024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SQL_Charts!$J$3:$J$12</c:f>
              <c:strCache>
                <c:ptCount val="10"/>
                <c:pt idx="0">
                  <c:v>Tamil Nadu</c:v>
                </c:pt>
                <c:pt idx="1">
                  <c:v>Madhya Pradesh</c:v>
                </c:pt>
                <c:pt idx="2">
                  <c:v>Kerala</c:v>
                </c:pt>
                <c:pt idx="3">
                  <c:v>Uttar Pradesh</c:v>
                </c:pt>
                <c:pt idx="4">
                  <c:v>Karnataka</c:v>
                </c:pt>
                <c:pt idx="5">
                  <c:v>Maharashtra</c:v>
                </c:pt>
                <c:pt idx="6">
                  <c:v>Telangana</c:v>
                </c:pt>
                <c:pt idx="7">
                  <c:v>Rajasthan</c:v>
                </c:pt>
                <c:pt idx="8">
                  <c:v>Andhra Pradesh</c:v>
                </c:pt>
                <c:pt idx="9">
                  <c:v>Gujarat</c:v>
                </c:pt>
              </c:strCache>
            </c:strRef>
          </c:cat>
          <c:val>
            <c:numRef>
              <c:f>SQL_Charts!$K$3:$K$12</c:f>
              <c:numCache>
                <c:formatCode>General</c:formatCode>
                <c:ptCount val="10"/>
                <c:pt idx="0">
                  <c:v>67526</c:v>
                </c:pt>
                <c:pt idx="1">
                  <c:v>56669</c:v>
                </c:pt>
                <c:pt idx="2">
                  <c:v>48834</c:v>
                </c:pt>
                <c:pt idx="3">
                  <c:v>46052</c:v>
                </c:pt>
                <c:pt idx="4">
                  <c:v>43062</c:v>
                </c:pt>
                <c:pt idx="5">
                  <c:v>36118</c:v>
                </c:pt>
                <c:pt idx="6">
                  <c:v>25986</c:v>
                </c:pt>
                <c:pt idx="7">
                  <c:v>24838</c:v>
                </c:pt>
                <c:pt idx="8">
                  <c:v>19557</c:v>
                </c:pt>
                <c:pt idx="9">
                  <c:v>15588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66-473F-8D30-955A82F5D46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1954624719"/>
        <c:axId val="1957120623"/>
      </c:barChart>
      <c:catAx>
        <c:axId val="19546247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7120623"/>
        <c:crosses val="autoZero"/>
        <c:auto val="1"/>
        <c:lblAlgn val="ctr"/>
        <c:lblOffset val="100"/>
        <c:noMultiLvlLbl val="0"/>
      </c:catAx>
      <c:valAx>
        <c:axId val="19571206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46247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/>
              <a:t>Road Fatalities Trend (2020–2024</a:t>
            </a:r>
            <a:r>
              <a:rPr lang="en-IN" sz="1400" b="0" i="0" u="none" strike="noStrike" baseline="0"/>
              <a:t>)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SQL_Charts!$R$2</c:f>
              <c:strCache>
                <c:ptCount val="1"/>
                <c:pt idx="0">
                  <c:v>Total Fatalities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SQL_Charts!$Q$3:$Q$7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SQL_Charts!$R$3:$R$7</c:f>
              <c:numCache>
                <c:formatCode>General</c:formatCode>
                <c:ptCount val="5"/>
                <c:pt idx="0">
                  <c:v>138383</c:v>
                </c:pt>
                <c:pt idx="1">
                  <c:v>153972</c:v>
                </c:pt>
                <c:pt idx="2">
                  <c:v>168491</c:v>
                </c:pt>
                <c:pt idx="3">
                  <c:v>172890</c:v>
                </c:pt>
                <c:pt idx="4">
                  <c:v>177175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33B-4B7B-BDF6-7559D6A3A80E}"/>
            </c:ext>
          </c:extLst>
        </c:ser>
        <c:dLbls>
          <c:dLblPos val="b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919400847"/>
        <c:axId val="195706878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SQL_Charts!$Q$2</c15:sqref>
                        </c15:formulaRef>
                      </c:ext>
                    </c:extLst>
                    <c:strCache>
                      <c:ptCount val="1"/>
                      <c:pt idx="0">
                        <c:v>Year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cat>
                  <c:numRef>
                    <c:extLst>
                      <c:ext uri="{02D57815-91ED-43cb-92C2-25804820EDAC}">
                        <c15:formulaRef>
                          <c15:sqref>SQL_Charts!$Q$3:$Q$7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2020</c:v>
                      </c:pt>
                      <c:pt idx="1">
                        <c:v>2021</c:v>
                      </c:pt>
                      <c:pt idx="2">
                        <c:v>2022</c:v>
                      </c:pt>
                      <c:pt idx="3">
                        <c:v>2023</c:v>
                      </c:pt>
                      <c:pt idx="4">
                        <c:v>2024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SQL_Charts!$Q$3:$Q$7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2020</c:v>
                      </c:pt>
                      <c:pt idx="1">
                        <c:v>2021</c:v>
                      </c:pt>
                      <c:pt idx="2">
                        <c:v>2022</c:v>
                      </c:pt>
                      <c:pt idx="3">
                        <c:v>2023</c:v>
                      </c:pt>
                      <c:pt idx="4">
                        <c:v>2024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533B-4B7B-BDF6-7559D6A3A80E}"/>
                  </c:ext>
                </c:extLst>
              </c15:ser>
            </c15:filteredLineSeries>
          </c:ext>
        </c:extLst>
      </c:lineChart>
      <c:catAx>
        <c:axId val="19194008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7068783"/>
        <c:crosses val="autoZero"/>
        <c:auto val="1"/>
        <c:lblAlgn val="ctr"/>
        <c:lblOffset val="100"/>
        <c:noMultiLvlLbl val="0"/>
      </c:catAx>
      <c:valAx>
        <c:axId val="1957068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9400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Accidents &amp; Fatalities Trend — 2020–2024</a:t>
            </a:r>
          </a:p>
        </c:rich>
      </c:tx>
      <c:layout>
        <c:manualLayout>
          <c:xMode val="edge"/>
          <c:yMode val="edge"/>
          <c:x val="0.13421536433506351"/>
          <c:y val="4.417107697603373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Analysis!$C$3</c:f>
              <c:strCache>
                <c:ptCount val="1"/>
                <c:pt idx="0">
                  <c:v>Accidents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Analysis!$B$4:$B$8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Analysis!$C$4:$C$8</c:f>
              <c:numCache>
                <c:formatCode>_(* #,##0_);_(* \(#,##0\);_(* "-"_);_(@_)</c:formatCode>
                <c:ptCount val="5"/>
                <c:pt idx="0">
                  <c:v>744361</c:v>
                </c:pt>
                <c:pt idx="1">
                  <c:v>824860</c:v>
                </c:pt>
                <c:pt idx="2">
                  <c:v>922621</c:v>
                </c:pt>
                <c:pt idx="3">
                  <c:v>961165</c:v>
                </c:pt>
                <c:pt idx="4">
                  <c:v>975414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75A-4CC1-87FC-46A1F7097C24}"/>
            </c:ext>
          </c:extLst>
        </c:ser>
        <c:ser>
          <c:idx val="2"/>
          <c:order val="2"/>
          <c:tx>
            <c:strRef>
              <c:f>Analysis!$D$3</c:f>
              <c:strCache>
                <c:ptCount val="1"/>
                <c:pt idx="0">
                  <c:v>Fatalities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Analysis!$B$4:$B$8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Analysis!$D$4:$D$8</c:f>
              <c:numCache>
                <c:formatCode>_(* #,##0_);_(* \(#,##0\);_(* "-"_);_(@_)</c:formatCode>
                <c:ptCount val="5"/>
                <c:pt idx="0">
                  <c:v>138383</c:v>
                </c:pt>
                <c:pt idx="1">
                  <c:v>153972</c:v>
                </c:pt>
                <c:pt idx="2">
                  <c:v>168491</c:v>
                </c:pt>
                <c:pt idx="3">
                  <c:v>172890</c:v>
                </c:pt>
                <c:pt idx="4">
                  <c:v>177175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75A-4CC1-87FC-46A1F7097C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20754335"/>
        <c:axId val="465987375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Analysis!$B$3</c15:sqref>
                        </c15:formulaRef>
                      </c:ext>
                    </c:extLst>
                    <c:strCache>
                      <c:ptCount val="1"/>
                      <c:pt idx="0">
                        <c:v>Year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Analysis!$B$4:$B$8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2020</c:v>
                      </c:pt>
                      <c:pt idx="1">
                        <c:v>2021</c:v>
                      </c:pt>
                      <c:pt idx="2">
                        <c:v>2022</c:v>
                      </c:pt>
                      <c:pt idx="3">
                        <c:v>2023</c:v>
                      </c:pt>
                      <c:pt idx="4">
                        <c:v>2024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Analysis!$B$4:$B$8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2020</c:v>
                      </c:pt>
                      <c:pt idx="1">
                        <c:v>2021</c:v>
                      </c:pt>
                      <c:pt idx="2">
                        <c:v>2022</c:v>
                      </c:pt>
                      <c:pt idx="3">
                        <c:v>2023</c:v>
                      </c:pt>
                      <c:pt idx="4">
                        <c:v>2024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875A-4CC1-87FC-46A1F7097C24}"/>
                  </c:ext>
                </c:extLst>
              </c15:ser>
            </c15:filteredLineSeries>
          </c:ext>
        </c:extLst>
      </c:lineChart>
      <c:catAx>
        <c:axId val="5207543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5987375"/>
        <c:crosses val="autoZero"/>
        <c:auto val="1"/>
        <c:lblAlgn val="ctr"/>
        <c:lblOffset val="100"/>
        <c:noMultiLvlLbl val="0"/>
      </c:catAx>
      <c:valAx>
        <c:axId val="465987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07543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>
                <a:solidFill>
                  <a:schemeClr val="tx1"/>
                </a:solidFill>
              </a:rPr>
              <a:t>Top 10 States by Road Accidents — 2024</a:t>
            </a:r>
            <a:endParaRPr lang="en-IN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Analysis!$C$19:$C$28</c:f>
              <c:strCache>
                <c:ptCount val="10"/>
                <c:pt idx="0">
                  <c:v>Tamil Nadu</c:v>
                </c:pt>
                <c:pt idx="1">
                  <c:v>Madhya Pradesh</c:v>
                </c:pt>
                <c:pt idx="2">
                  <c:v>Kerala</c:v>
                </c:pt>
                <c:pt idx="3">
                  <c:v>Uttar Pradesh</c:v>
                </c:pt>
                <c:pt idx="4">
                  <c:v>Karnataka</c:v>
                </c:pt>
                <c:pt idx="5">
                  <c:v>Maharashtra</c:v>
                </c:pt>
                <c:pt idx="6">
                  <c:v>Telangana</c:v>
                </c:pt>
                <c:pt idx="7">
                  <c:v>Rajasthan</c:v>
                </c:pt>
                <c:pt idx="8">
                  <c:v>Andhra Pradesh</c:v>
                </c:pt>
                <c:pt idx="9">
                  <c:v>Gujarat</c:v>
                </c:pt>
              </c:strCache>
            </c:strRef>
          </c:cat>
          <c:val>
            <c:numRef>
              <c:f>Analysis!$D$19:$D$28</c:f>
              <c:numCache>
                <c:formatCode>_(* #,##0_);_(* \(#,##0\);_(* "-"_);_(@_)</c:formatCode>
                <c:ptCount val="10"/>
                <c:pt idx="0">
                  <c:v>67526</c:v>
                </c:pt>
                <c:pt idx="1">
                  <c:v>56669</c:v>
                </c:pt>
                <c:pt idx="2">
                  <c:v>48834</c:v>
                </c:pt>
                <c:pt idx="3">
                  <c:v>46052</c:v>
                </c:pt>
                <c:pt idx="4">
                  <c:v>43062</c:v>
                </c:pt>
                <c:pt idx="5">
                  <c:v>36118</c:v>
                </c:pt>
                <c:pt idx="6">
                  <c:v>25986</c:v>
                </c:pt>
                <c:pt idx="7">
                  <c:v>24838</c:v>
                </c:pt>
                <c:pt idx="8">
                  <c:v>19557</c:v>
                </c:pt>
                <c:pt idx="9">
                  <c:v>15588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22-4CC0-9B62-6DEC3579339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422863103"/>
        <c:axId val="2106825872"/>
      </c:barChart>
      <c:catAx>
        <c:axId val="4228631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6825872"/>
        <c:crosses val="autoZero"/>
        <c:auto val="1"/>
        <c:lblAlgn val="ctr"/>
        <c:lblOffset val="100"/>
        <c:noMultiLvlLbl val="0"/>
      </c:catAx>
      <c:valAx>
        <c:axId val="21068258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28631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6" Type="http://schemas.openxmlformats.org/officeDocument/2006/relationships/chart" Target="../charts/chart7.xml"/><Relationship Id="rId5" Type="http://schemas.openxmlformats.org/officeDocument/2006/relationships/chart" Target="../charts/chart6.xml"/><Relationship Id="rId4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171450</xdr:colOff>
      <xdr:row>4</xdr:row>
      <xdr:rowOff>128587</xdr:rowOff>
    </xdr:from>
    <xdr:to>
      <xdr:col>10</xdr:col>
      <xdr:colOff>476250</xdr:colOff>
      <xdr:row>19</xdr:row>
      <xdr:rowOff>14287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7A780CB-CB54-776F-7719-07F032BFEE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14</xdr:row>
      <xdr:rowOff>185737</xdr:rowOff>
    </xdr:from>
    <xdr:to>
      <xdr:col>10</xdr:col>
      <xdr:colOff>0</xdr:colOff>
      <xdr:row>29</xdr:row>
      <xdr:rowOff>71437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A0A5E71-8B6D-43A5-65FA-315B0BC065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9524</xdr:colOff>
      <xdr:row>32</xdr:row>
      <xdr:rowOff>188912</xdr:rowOff>
    </xdr:from>
    <xdr:to>
      <xdr:col>9</xdr:col>
      <xdr:colOff>657224</xdr:colOff>
      <xdr:row>47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FFD5DC6-8E82-6315-C91E-ABA78B3BBB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9525</xdr:colOff>
      <xdr:row>0</xdr:row>
      <xdr:rowOff>190500</xdr:rowOff>
    </xdr:from>
    <xdr:to>
      <xdr:col>10</xdr:col>
      <xdr:colOff>9525</xdr:colOff>
      <xdr:row>13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C3B3A5B-F895-F552-BF4D-1BD996717C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604837</xdr:colOff>
      <xdr:row>49</xdr:row>
      <xdr:rowOff>179387</xdr:rowOff>
    </xdr:from>
    <xdr:to>
      <xdr:col>10</xdr:col>
      <xdr:colOff>0</xdr:colOff>
      <xdr:row>64</xdr:row>
      <xdr:rowOff>19050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044A97A-3B23-AC3E-B365-44B5B6B2F6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590550</xdr:colOff>
      <xdr:row>87</xdr:row>
      <xdr:rowOff>166687</xdr:rowOff>
    </xdr:from>
    <xdr:to>
      <xdr:col>9</xdr:col>
      <xdr:colOff>581025</xdr:colOff>
      <xdr:row>102</xdr:row>
      <xdr:rowOff>52387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7C81322-37D9-FE16-A487-C85E459339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0</xdr:colOff>
      <xdr:row>65</xdr:row>
      <xdr:rowOff>185736</xdr:rowOff>
    </xdr:from>
    <xdr:to>
      <xdr:col>9</xdr:col>
      <xdr:colOff>657225</xdr:colOff>
      <xdr:row>80</xdr:row>
      <xdr:rowOff>190499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30040330-D0DC-4F10-02F8-629CA46FA5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190501</xdr:colOff>
      <xdr:row>7</xdr:row>
      <xdr:rowOff>90487</xdr:rowOff>
    </xdr:from>
    <xdr:to>
      <xdr:col>7</xdr:col>
      <xdr:colOff>9525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42170DE-5048-3A25-CA32-856112D795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200025</xdr:colOff>
      <xdr:row>22</xdr:row>
      <xdr:rowOff>0</xdr:rowOff>
    </xdr:from>
    <xdr:to>
      <xdr:col>7</xdr:col>
      <xdr:colOff>0</xdr:colOff>
      <xdr:row>26</xdr:row>
      <xdr:rowOff>66675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19AF9343-CB62-0BD6-C6CE-11493B3D3835}"/>
            </a:ext>
          </a:extLst>
        </xdr:cNvPr>
        <xdr:cNvSpPr txBox="1"/>
      </xdr:nvSpPr>
      <xdr:spPr>
        <a:xfrm>
          <a:off x="200025" y="4029075"/>
          <a:ext cx="4152900" cy="8286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 b="1"/>
            <a:t>Key</a:t>
          </a:r>
          <a:r>
            <a:rPr lang="en-IN" sz="1100" b="1" baseline="0"/>
            <a:t> insight - </a:t>
          </a:r>
          <a:br>
            <a:rPr lang="en-IN" sz="1100" baseline="0"/>
          </a:br>
          <a:r>
            <a:rPr lang="en-IN"/>
            <a:t>Reported road accidents increased from 372,181 in 2020 to 487,707 in 2024, representing an increase of approximately 31.04%. However, the annual growth rate slowed to 1.48% in 2024.</a:t>
          </a:r>
        </a:p>
        <a:p>
          <a:endParaRPr lang="en-IN" sz="1100"/>
        </a:p>
      </xdr:txBody>
    </xdr:sp>
    <xdr:clientData/>
  </xdr:twoCellAnchor>
  <xdr:twoCellAnchor>
    <xdr:from>
      <xdr:col>8</xdr:col>
      <xdr:colOff>9525</xdr:colOff>
      <xdr:row>12</xdr:row>
      <xdr:rowOff>71437</xdr:rowOff>
    </xdr:from>
    <xdr:to>
      <xdr:col>14</xdr:col>
      <xdr:colOff>0</xdr:colOff>
      <xdr:row>27</xdr:row>
      <xdr:rowOff>9525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94B3709-4162-E8DC-3013-4B302D2D77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161925</xdr:colOff>
      <xdr:row>7</xdr:row>
      <xdr:rowOff>185737</xdr:rowOff>
    </xdr:from>
    <xdr:to>
      <xdr:col>21</xdr:col>
      <xdr:colOff>409575</xdr:colOff>
      <xdr:row>22</xdr:row>
      <xdr:rowOff>61912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EC8A72D-888C-8FDF-BB96-F71DF87C41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9525</xdr:colOff>
      <xdr:row>27</xdr:row>
      <xdr:rowOff>180975</xdr:rowOff>
    </xdr:from>
    <xdr:to>
      <xdr:col>14</xdr:col>
      <xdr:colOff>9525</xdr:colOff>
      <xdr:row>32</xdr:row>
      <xdr:rowOff>57150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F33CBA52-36B3-4BCF-AF2A-91852EC60FC1}"/>
            </a:ext>
          </a:extLst>
        </xdr:cNvPr>
        <xdr:cNvSpPr txBox="1"/>
      </xdr:nvSpPr>
      <xdr:spPr>
        <a:xfrm>
          <a:off x="4972050" y="5162550"/>
          <a:ext cx="4572000" cy="8286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Key Insight - </a:t>
          </a:r>
          <a:endParaRPr lang="en-IN">
            <a:effectLst/>
          </a:endParaRPr>
        </a:p>
        <a:p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Tamil Nadu recorded the highest number of road accidents in 2024 (67,526), followed by Madhya Pradesh (56,669) and Kerala (48,834). The top five states accounted for approximately 53.75% of the national total.</a:t>
          </a:r>
          <a:endParaRPr lang="en-IN">
            <a:effectLst/>
          </a:endParaRPr>
        </a:p>
        <a:p>
          <a:endParaRPr lang="en-IN" sz="1100"/>
        </a:p>
      </xdr:txBody>
    </xdr:sp>
    <xdr:clientData/>
  </xdr:twoCellAnchor>
  <xdr:twoCellAnchor>
    <xdr:from>
      <xdr:col>14</xdr:col>
      <xdr:colOff>171450</xdr:colOff>
      <xdr:row>23</xdr:row>
      <xdr:rowOff>0</xdr:rowOff>
    </xdr:from>
    <xdr:to>
      <xdr:col>21</xdr:col>
      <xdr:colOff>409575</xdr:colOff>
      <xdr:row>28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A9D1C879-178D-4900-8A2C-26E75EBDF0C6}"/>
            </a:ext>
          </a:extLst>
        </xdr:cNvPr>
        <xdr:cNvSpPr txBox="1"/>
      </xdr:nvSpPr>
      <xdr:spPr>
        <a:xfrm>
          <a:off x="9705975" y="4219575"/>
          <a:ext cx="4286250" cy="952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Key Insight - </a:t>
          </a:r>
          <a:endParaRPr lang="en-IN">
            <a:effectLst/>
          </a:endParaRPr>
        </a:p>
        <a:p>
          <a:r>
            <a:rPr lang="en-IN"/>
            <a:t>Road fatalities increased from 138,383 in 2020 to 177,175 in 2024,         a rise of approximately 28.0%. Although the annual growth rate slowed after 2022, total fatalities continued to increase each year.</a:t>
          </a:r>
          <a:endParaRPr lang="en-IN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9526</xdr:colOff>
      <xdr:row>4</xdr:row>
      <xdr:rowOff>171450</xdr:rowOff>
    </xdr:from>
    <xdr:to>
      <xdr:col>7</xdr:col>
      <xdr:colOff>600076</xdr:colOff>
      <xdr:row>17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247F855-C628-4346-B075-D1409B86BA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1</xdr:col>
      <xdr:colOff>0</xdr:colOff>
      <xdr:row>1</xdr:row>
      <xdr:rowOff>9526</xdr:rowOff>
    </xdr:from>
    <xdr:ext cx="8553449" cy="57150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D611310-3E32-76A8-BDDA-A21B11F3BBAA}"/>
            </a:ext>
          </a:extLst>
        </xdr:cNvPr>
        <xdr:cNvSpPr txBox="1"/>
      </xdr:nvSpPr>
      <xdr:spPr>
        <a:xfrm>
          <a:off x="609600" y="200026"/>
          <a:ext cx="8553449" cy="57150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IN" sz="3200" b="1"/>
            <a:t>India Road Accidents</a:t>
          </a:r>
          <a:r>
            <a:rPr lang="en-IN" sz="3200" b="1" baseline="0"/>
            <a:t> Overview</a:t>
          </a:r>
          <a:endParaRPr lang="en-IN" sz="3200" b="1"/>
        </a:p>
      </xdr:txBody>
    </xdr:sp>
    <xdr:clientData/>
  </xdr:oneCellAnchor>
  <xdr:twoCellAnchor>
    <xdr:from>
      <xdr:col>8</xdr:col>
      <xdr:colOff>95250</xdr:colOff>
      <xdr:row>4</xdr:row>
      <xdr:rowOff>171450</xdr:rowOff>
    </xdr:from>
    <xdr:to>
      <xdr:col>15</xdr:col>
      <xdr:colOff>466725</xdr:colOff>
      <xdr:row>19</xdr:row>
      <xdr:rowOff>85725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64340E6-4E39-46A9-8B67-2F80037B21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mareswara Reddy" refreshedDate="46294.304154282407" createdVersion="8" refreshedVersion="8" minRefreshableVersion="3" recordCount="37" xr:uid="{7DC32688-243C-4A35-8838-4D0E7E82C12F}">
  <cacheSource type="worksheet">
    <worksheetSource name="road_accidents_2024_states_road_accidents"/>
  </cacheSource>
  <cacheFields count="8">
    <cacheField name="State" numFmtId="0">
      <sharedItems count="37">
        <s v="Andhra Pradesh"/>
        <s v="Arunachal Pradesh"/>
        <s v="Assam"/>
        <s v="Bihar"/>
        <s v="Chhattisgarh"/>
        <s v="Goa"/>
        <s v="Gujarat"/>
        <s v="Haryana"/>
        <s v="Himachal Pradesh"/>
        <s v="Jharkhand"/>
        <s v="Karnataka"/>
        <s v="Kerala"/>
        <s v="Madhya Pradesh"/>
        <s v="Maharashtra"/>
        <s v="Manipur"/>
        <s v="Meghalaya"/>
        <s v="Mizoram"/>
        <s v="Nagaland"/>
        <s v="Odisha"/>
        <s v="Punjab"/>
        <s v="Rajasthan"/>
        <s v="Sikkim"/>
        <s v="Tamil Nadu"/>
        <s v="Telangana"/>
        <s v="Tripura"/>
        <s v="Uttarakhand"/>
        <s v="Uttar Pradesh"/>
        <s v="West Bengal"/>
        <s v="Andaman &amp; Nicobar Islands"/>
        <s v="Chandigarh"/>
        <s v="Dadra &amp; Nagar Haveli and Daman &amp; Diu"/>
        <s v="Delhi"/>
        <s v="J &amp; K #"/>
        <s v="Ladakh"/>
        <s v="Lakshadweep"/>
        <s v="Puducherry"/>
        <s v="All India"/>
      </sharedItems>
    </cacheField>
    <cacheField name="2020 Accidents" numFmtId="0">
      <sharedItems containsString="0" containsBlank="1" containsNumber="1" containsInteger="1" minValue="1" maxValue="372181"/>
    </cacheField>
    <cacheField name="2021 Accidents" numFmtId="0">
      <sharedItems containsSemiMixedTypes="0" containsString="0" containsNumber="1" containsInteger="1" minValue="4" maxValue="412432"/>
    </cacheField>
    <cacheField name="2022 Accidents" numFmtId="0">
      <sharedItems containsSemiMixedTypes="0" containsString="0" containsNumber="1" containsInteger="1" minValue="3" maxValue="461312"/>
    </cacheField>
    <cacheField name="2023 Accidents" numFmtId="0">
      <sharedItems containsSemiMixedTypes="0" containsString="0" containsNumber="1" containsInteger="1" minValue="1" maxValue="480583"/>
    </cacheField>
    <cacheField name="2024 Accidents" numFmtId="0">
      <sharedItems containsSemiMixedTypes="0" containsString="0" containsNumber="1" containsInteger="1" minValue="0" maxValue="487707"/>
    </cacheField>
    <cacheField name="Change from 2023 to 2024" numFmtId="0">
      <sharedItems containsSemiMixedTypes="0" containsString="0" containsNumber="1" containsInteger="1" minValue="-761" maxValue="7124"/>
    </cacheField>
    <cacheField name="% change from 2023 to 2024" numFmtId="0">
      <sharedItems containsSemiMixedTypes="0" containsString="0" containsNumber="1" minValue="-100" maxValue="20.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mareswara Reddy" refreshedDate="46294.321705902781" createdVersion="8" refreshedVersion="8" minRefreshableVersion="3" recordCount="37" xr:uid="{4323B832-C3C0-44E2-A9D1-3B32941C8322}">
  <cacheSource type="worksheet">
    <worksheetSource name="road_accidents_2024_states_fatalities"/>
  </cacheSource>
  <cacheFields count="7">
    <cacheField name="State" numFmtId="0">
      <sharedItems count="37">
        <s v="Andhra Pradesh"/>
        <s v="Arunachal Pradesh"/>
        <s v="Assam"/>
        <s v="Bihar"/>
        <s v="Chhattisgarh"/>
        <s v="Goa"/>
        <s v="Gujarat"/>
        <s v="Haryana"/>
        <s v="Himachal Pradesh"/>
        <s v="Jharkhand"/>
        <s v="Karnataka"/>
        <s v="Kerala"/>
        <s v="Madhya Pradesh"/>
        <s v="Maharashtra"/>
        <s v="Manipur"/>
        <s v="Meghalaya"/>
        <s v="Mizoram"/>
        <s v="Nagaland"/>
        <s v="Odisha"/>
        <s v="Punjab"/>
        <s v="Rajasthan"/>
        <s v="Sikkim"/>
        <s v="Tamil Nadu"/>
        <s v="Telangana"/>
        <s v="Tripura"/>
        <s v="Uttarakhand"/>
        <s v="Uttar Pradesh"/>
        <s v="West Bengal"/>
        <s v="Andaman &amp; Nicobar Islands"/>
        <s v="Chandigarh"/>
        <s v="Dadra &amp; Nagar Haveli and Daman &amp; Diu"/>
        <s v="Delhi"/>
        <s v="J &amp; K #"/>
        <s v="Ladakh"/>
        <s v="Lakshadweep"/>
        <s v="Puducherry"/>
        <s v="All India"/>
      </sharedItems>
    </cacheField>
    <cacheField name="2020 Killed" numFmtId="0">
      <sharedItems containsString="0" containsBlank="1" containsNumber="1" containsInteger="1" minValue="0" maxValue="138383"/>
    </cacheField>
    <cacheField name="2021 Killed" numFmtId="0">
      <sharedItems containsSemiMixedTypes="0" containsString="0" containsNumber="1" containsInteger="1" minValue="1" maxValue="153972"/>
    </cacheField>
    <cacheField name="2022 Killed" numFmtId="0">
      <sharedItems containsSemiMixedTypes="0" containsString="0" containsNumber="1" containsInteger="1" minValue="2" maxValue="168491"/>
    </cacheField>
    <cacheField name="2023 Killed" numFmtId="0">
      <sharedItems containsSemiMixedTypes="0" containsString="0" containsNumber="1" containsInteger="1" minValue="0" maxValue="172890"/>
    </cacheField>
    <cacheField name="2024 Killed" numFmtId="0">
      <sharedItems containsSemiMixedTypes="0" containsString="0" containsNumber="1" containsInteger="1" minValue="0" maxValue="177175"/>
    </cacheField>
    <cacheField name="% change from 2023 to 2024" numFmtId="0">
      <sharedItems containsSemiMixedTypes="0" containsString="0" containsNumber="1" minValue="-27.91" maxValue="46.3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mareswara Reddy" refreshedDate="46294.40429259259" createdVersion="8" refreshedVersion="8" minRefreshableVersion="3" recordCount="9" xr:uid="{3FED18C0-2308-4D46-A4C6-7048E643D063}">
  <cacheSource type="worksheet">
    <worksheetSource name="road_accidents_2024_type_of_collision"/>
  </cacheSource>
  <cacheFields count="10">
    <cacheField name="Type of collision" numFmtId="0">
      <sharedItems count="9">
        <s v="Hit and Run"/>
        <s v="With parked Vehicle"/>
        <s v="Hit from Back"/>
        <s v="Hit from side"/>
        <s v="Run off Road"/>
        <s v="Fixed object"/>
        <s v="Vehicle overturn"/>
        <s v="Head on collision"/>
        <s v="Others"/>
      </sharedItems>
    </cacheField>
    <cacheField name="2023-Accidents" numFmtId="0">
      <sharedItems containsSemiMixedTypes="0" containsString="0" containsNumber="1" containsInteger="1" minValue="13810" maxValue="110656"/>
    </cacheField>
    <cacheField name="2023-Killed" numFmtId="0">
      <sharedItems containsSemiMixedTypes="0" containsString="0" containsNumber="1" containsInteger="1" minValue="5636" maxValue="36804"/>
    </cacheField>
    <cacheField name="2023-injured" numFmtId="0">
      <sharedItems containsSemiMixedTypes="0" containsString="0" containsNumber="1" containsInteger="1" minValue="12575" maxValue="107161"/>
    </cacheField>
    <cacheField name="2024-Accidents" numFmtId="0">
      <sharedItems containsSemiMixedTypes="0" containsString="0" containsNumber="1" containsInteger="1" minValue="11198" maxValue="113907"/>
    </cacheField>
    <cacheField name="2024-Killed" numFmtId="0">
      <sharedItems containsSemiMixedTypes="0" containsString="0" containsNumber="1" containsInteger="1" minValue="4486" maxValue="37404"/>
    </cacheField>
    <cacheField name="2024-injured" numFmtId="0">
      <sharedItems containsSemiMixedTypes="0" containsString="0" containsNumber="1" containsInteger="1" minValue="10608" maxValue="110160"/>
    </cacheField>
    <cacheField name="%Change-Accidents" numFmtId="0">
      <sharedItems containsSemiMixedTypes="0" containsString="0" containsNumber="1" minValue="-18.899999999999999" maxValue="12"/>
    </cacheField>
    <cacheField name="%Change-killed" numFmtId="0">
      <sharedItems containsSemiMixedTypes="0" containsString="0" containsNumber="1" minValue="-20.399999999999999" maxValue="18.899999999999999"/>
    </cacheField>
    <cacheField name="%Change-Injured" numFmtId="0">
      <sharedItems containsSemiMixedTypes="0" containsString="0" containsNumber="1" minValue="-15.6" maxValue="13.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">
  <r>
    <x v="0"/>
    <n v="19509"/>
    <n v="21556"/>
    <n v="21249"/>
    <n v="19949"/>
    <n v="19557"/>
    <n v="-392"/>
    <n v="-2"/>
  </r>
  <r>
    <x v="1"/>
    <n v="134"/>
    <n v="283"/>
    <n v="227"/>
    <n v="287"/>
    <n v="277"/>
    <n v="-10"/>
    <n v="-3.5"/>
  </r>
  <r>
    <x v="2"/>
    <n v="6595"/>
    <n v="7411"/>
    <n v="7023"/>
    <n v="7421"/>
    <n v="7848"/>
    <n v="427"/>
    <n v="5.8"/>
  </r>
  <r>
    <x v="3"/>
    <n v="8639"/>
    <n v="9553"/>
    <n v="10801"/>
    <n v="11014"/>
    <n v="11610"/>
    <n v="596"/>
    <n v="5.4"/>
  </r>
  <r>
    <x v="4"/>
    <n v="11656"/>
    <n v="12375"/>
    <n v="13279"/>
    <n v="13468"/>
    <n v="14857"/>
    <n v="1389"/>
    <n v="10.3"/>
  </r>
  <r>
    <x v="5"/>
    <n v="2375"/>
    <n v="2849"/>
    <n v="3011"/>
    <n v="2846"/>
    <n v="2682"/>
    <n v="-164"/>
    <n v="-5.8"/>
  </r>
  <r>
    <x v="6"/>
    <n v="13398"/>
    <n v="15186"/>
    <n v="15751"/>
    <n v="16349"/>
    <n v="15588"/>
    <n v="-761"/>
    <n v="-4.7"/>
  </r>
  <r>
    <x v="7"/>
    <n v="9431"/>
    <n v="9933"/>
    <n v="10429"/>
    <n v="10463"/>
    <n v="9806"/>
    <n v="-657"/>
    <n v="-6.3"/>
  </r>
  <r>
    <x v="8"/>
    <n v="2239"/>
    <n v="2404"/>
    <n v="2597"/>
    <n v="2253"/>
    <n v="2156"/>
    <n v="-97"/>
    <n v="-4.3"/>
  </r>
  <r>
    <x v="9"/>
    <n v="4405"/>
    <n v="4728"/>
    <n v="5175"/>
    <n v="5315"/>
    <n v="5196"/>
    <n v="-119"/>
    <n v="-2.2000000000000002"/>
  </r>
  <r>
    <x v="10"/>
    <n v="34178"/>
    <n v="34647"/>
    <n v="39762"/>
    <n v="43440"/>
    <n v="43062"/>
    <n v="-378"/>
    <n v="-0.9"/>
  </r>
  <r>
    <x v="11"/>
    <n v="27877"/>
    <n v="33296"/>
    <n v="43910"/>
    <n v="48091"/>
    <n v="48834"/>
    <n v="743"/>
    <n v="1.5"/>
  </r>
  <r>
    <x v="12"/>
    <n v="45266"/>
    <n v="48877"/>
    <n v="54432"/>
    <n v="55327"/>
    <n v="56669"/>
    <n v="1342"/>
    <n v="2.4"/>
  </r>
  <r>
    <x v="13"/>
    <n v="24971"/>
    <n v="29477"/>
    <n v="33383"/>
    <n v="35243"/>
    <n v="36118"/>
    <n v="875"/>
    <n v="2.5"/>
  </r>
  <r>
    <x v="14"/>
    <n v="432"/>
    <n v="366"/>
    <n v="508"/>
    <n v="398"/>
    <n v="299"/>
    <n v="-99"/>
    <n v="-24.9"/>
  </r>
  <r>
    <x v="15"/>
    <n v="214"/>
    <n v="245"/>
    <n v="246"/>
    <n v="223"/>
    <n v="269"/>
    <n v="46"/>
    <n v="20.6"/>
  </r>
  <r>
    <x v="16"/>
    <n v="53"/>
    <n v="69"/>
    <n v="133"/>
    <n v="106"/>
    <n v="118"/>
    <n v="12"/>
    <n v="11.3"/>
  </r>
  <r>
    <x v="17"/>
    <n v="500"/>
    <n v="746"/>
    <n v="489"/>
    <n v="303"/>
    <n v="129"/>
    <n v="-174"/>
    <n v="-57.4"/>
  </r>
  <r>
    <x v="18"/>
    <n v="9817"/>
    <n v="10983"/>
    <n v="11663"/>
    <n v="11992"/>
    <n v="12375"/>
    <n v="383"/>
    <n v="3.2"/>
  </r>
  <r>
    <x v="19"/>
    <n v="5203"/>
    <n v="5871"/>
    <n v="6138"/>
    <n v="6269"/>
    <n v="6063"/>
    <n v="-206"/>
    <n v="-3.3"/>
  </r>
  <r>
    <x v="20"/>
    <n v="19114"/>
    <n v="20951"/>
    <n v="23614"/>
    <n v="24694"/>
    <n v="24838"/>
    <n v="144"/>
    <n v="0.6"/>
  </r>
  <r>
    <x v="21"/>
    <n v="138"/>
    <n v="155"/>
    <n v="211"/>
    <n v="182"/>
    <n v="149"/>
    <n v="-33"/>
    <n v="-18.100000000000001"/>
  </r>
  <r>
    <x v="22"/>
    <n v="49844"/>
    <n v="55682"/>
    <n v="64105"/>
    <n v="67213"/>
    <n v="67526"/>
    <n v="313"/>
    <n v="0.5"/>
  </r>
  <r>
    <x v="23"/>
    <n v="19172"/>
    <n v="21315"/>
    <n v="21619"/>
    <n v="22903"/>
    <n v="25986"/>
    <n v="3083"/>
    <n v="13.5"/>
  </r>
  <r>
    <x v="24"/>
    <n v="466"/>
    <n v="479"/>
    <n v="575"/>
    <n v="577"/>
    <n v="578"/>
    <n v="1"/>
    <n v="0.2"/>
  </r>
  <r>
    <x v="25"/>
    <n v="1041"/>
    <n v="1405"/>
    <n v="1674"/>
    <n v="1691"/>
    <n v="1747"/>
    <n v="56"/>
    <n v="3.3"/>
  </r>
  <r>
    <x v="26"/>
    <n v="34243"/>
    <n v="37729"/>
    <n v="41746"/>
    <n v="44534"/>
    <n v="46052"/>
    <n v="1518"/>
    <n v="3.4"/>
  </r>
  <r>
    <x v="27"/>
    <n v="10863"/>
    <n v="11937"/>
    <n v="13686"/>
    <n v="13795"/>
    <n v="13702"/>
    <n v="-93"/>
    <n v="-0.7"/>
  </r>
  <r>
    <x v="28"/>
    <n v="141"/>
    <n v="115"/>
    <n v="141"/>
    <n v="143"/>
    <n v="135"/>
    <n v="-8"/>
    <n v="-5.6"/>
  </r>
  <r>
    <x v="29"/>
    <n v="159"/>
    <n v="208"/>
    <n v="237"/>
    <n v="182"/>
    <n v="169"/>
    <n v="-13"/>
    <n v="-7.1"/>
  </r>
  <r>
    <x v="30"/>
    <n v="100"/>
    <n v="140"/>
    <n v="196"/>
    <n v="182"/>
    <n v="152"/>
    <n v="-30"/>
    <n v="-16.5"/>
  </r>
  <r>
    <x v="31"/>
    <n v="4178"/>
    <n v="4720"/>
    <n v="5652"/>
    <n v="5834"/>
    <n v="5657"/>
    <n v="-177"/>
    <n v="-3"/>
  </r>
  <r>
    <x v="32"/>
    <n v="4860"/>
    <n v="5452"/>
    <n v="6092"/>
    <n v="6298"/>
    <n v="5808"/>
    <n v="-490"/>
    <n v="-7.8"/>
  </r>
  <r>
    <x v="33"/>
    <m/>
    <n v="236"/>
    <n v="374"/>
    <n v="289"/>
    <n v="264"/>
    <n v="-25"/>
    <n v="-8.6999999999999993"/>
  </r>
  <r>
    <x v="34"/>
    <n v="1"/>
    <n v="4"/>
    <n v="3"/>
    <n v="1"/>
    <n v="0"/>
    <n v="-1"/>
    <n v="-100"/>
  </r>
  <r>
    <x v="35"/>
    <n v="969"/>
    <n v="1049"/>
    <n v="1181"/>
    <n v="1308"/>
    <n v="1431"/>
    <n v="123"/>
    <n v="9.4"/>
  </r>
  <r>
    <x v="36"/>
    <n v="372181"/>
    <n v="412432"/>
    <n v="461312"/>
    <n v="480583"/>
    <n v="487707"/>
    <n v="7124"/>
    <n v="1.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">
  <r>
    <x v="0"/>
    <n v="7039"/>
    <n v="8186"/>
    <n v="8293"/>
    <n v="8137"/>
    <n v="8346"/>
    <n v="2.57"/>
  </r>
  <r>
    <x v="1"/>
    <n v="73"/>
    <n v="157"/>
    <n v="148"/>
    <n v="145"/>
    <n v="168"/>
    <n v="15.86"/>
  </r>
  <r>
    <x v="2"/>
    <n v="2629"/>
    <n v="3036"/>
    <n v="2994"/>
    <n v="3296"/>
    <n v="3351"/>
    <n v="1.67"/>
  </r>
  <r>
    <x v="3"/>
    <n v="6699"/>
    <n v="7660"/>
    <n v="8898"/>
    <n v="8873"/>
    <n v="9347"/>
    <n v="5.34"/>
  </r>
  <r>
    <x v="4"/>
    <n v="4606"/>
    <n v="5371"/>
    <n v="5834"/>
    <n v="6166"/>
    <n v="6945"/>
    <n v="12.63"/>
  </r>
  <r>
    <x v="5"/>
    <n v="223"/>
    <n v="226"/>
    <n v="271"/>
    <n v="290"/>
    <n v="286"/>
    <n v="-1.28"/>
  </r>
  <r>
    <x v="6"/>
    <n v="6170"/>
    <n v="7452"/>
    <n v="7618"/>
    <n v="7854"/>
    <n v="7717"/>
    <n v="-1.74"/>
  </r>
  <r>
    <x v="7"/>
    <n v="4507"/>
    <n v="4706"/>
    <n v="4915"/>
    <n v="4968"/>
    <n v="4689"/>
    <n v="-5.62"/>
  </r>
  <r>
    <x v="8"/>
    <n v="893"/>
    <n v="1052"/>
    <n v="1032"/>
    <n v="889"/>
    <n v="869"/>
    <n v="-2.25"/>
  </r>
  <r>
    <x v="9"/>
    <n v="3044"/>
    <n v="3513"/>
    <n v="3898"/>
    <n v="4173"/>
    <n v="4114"/>
    <n v="-1.41"/>
  </r>
  <r>
    <x v="10"/>
    <n v="9760"/>
    <n v="10038"/>
    <n v="11702"/>
    <n v="12321"/>
    <n v="12390"/>
    <n v="0.56000000000000005"/>
  </r>
  <r>
    <x v="11"/>
    <n v="2979"/>
    <n v="3429"/>
    <n v="4317"/>
    <n v="4080"/>
    <n v="3880"/>
    <n v="-4.9000000000000004"/>
  </r>
  <r>
    <x v="12"/>
    <n v="11141"/>
    <n v="12057"/>
    <n v="13427"/>
    <n v="13798"/>
    <n v="14791"/>
    <n v="7.2"/>
  </r>
  <r>
    <x v="13"/>
    <n v="11569"/>
    <n v="13528"/>
    <n v="15224"/>
    <n v="15366"/>
    <n v="15715"/>
    <n v="2.27"/>
  </r>
  <r>
    <x v="14"/>
    <n v="127"/>
    <n v="110"/>
    <n v="127"/>
    <n v="73"/>
    <n v="72"/>
    <n v="-1.37"/>
  </r>
  <r>
    <x v="15"/>
    <n v="144"/>
    <n v="187"/>
    <n v="162"/>
    <n v="168"/>
    <n v="197"/>
    <n v="17.260000000000002"/>
  </r>
  <r>
    <x v="16"/>
    <n v="42"/>
    <n v="56"/>
    <n v="113"/>
    <n v="96"/>
    <n v="110"/>
    <n v="14.58"/>
  </r>
  <r>
    <x v="17"/>
    <n v="53"/>
    <n v="55"/>
    <n v="73"/>
    <n v="86"/>
    <n v="62"/>
    <n v="-27.91"/>
  </r>
  <r>
    <x v="18"/>
    <n v="4738"/>
    <n v="5081"/>
    <n v="5467"/>
    <n v="5739"/>
    <n v="6142"/>
    <n v="7.02"/>
  </r>
  <r>
    <x v="19"/>
    <n v="3898"/>
    <n v="4589"/>
    <n v="4756"/>
    <n v="4829"/>
    <n v="4759"/>
    <n v="-1.45"/>
  </r>
  <r>
    <x v="20"/>
    <n v="9250"/>
    <n v="10043"/>
    <n v="11104"/>
    <n v="11762"/>
    <n v="11790"/>
    <n v="0.24"/>
  </r>
  <r>
    <x v="21"/>
    <n v="47"/>
    <n v="56"/>
    <n v="92"/>
    <n v="57"/>
    <n v="67"/>
    <n v="17.54"/>
  </r>
  <r>
    <x v="22"/>
    <n v="14527"/>
    <n v="15384"/>
    <n v="17884"/>
    <n v="18347"/>
    <n v="18449"/>
    <n v="0.56000000000000005"/>
  </r>
  <r>
    <x v="23"/>
    <n v="6882"/>
    <n v="7557"/>
    <n v="7559"/>
    <n v="7660"/>
    <n v="7949"/>
    <n v="3.77"/>
  </r>
  <r>
    <x v="24"/>
    <n v="192"/>
    <n v="194"/>
    <n v="241"/>
    <n v="261"/>
    <n v="226"/>
    <n v="-13.41"/>
  </r>
  <r>
    <x v="25"/>
    <n v="674"/>
    <n v="820"/>
    <n v="1042"/>
    <n v="1054"/>
    <n v="1090"/>
    <n v="3.42"/>
  </r>
  <r>
    <x v="26"/>
    <n v="19149"/>
    <n v="21227"/>
    <n v="22595"/>
    <n v="23652"/>
    <n v="24118"/>
    <n v="1.97"/>
  </r>
  <r>
    <x v="27"/>
    <n v="5128"/>
    <n v="5800"/>
    <n v="6002"/>
    <n v="6027"/>
    <n v="6676"/>
    <n v="10.77"/>
  </r>
  <r>
    <x v="28"/>
    <n v="14"/>
    <n v="20"/>
    <n v="19"/>
    <n v="24"/>
    <n v="29"/>
    <n v="20.83"/>
  </r>
  <r>
    <x v="29"/>
    <n v="53"/>
    <n v="96"/>
    <n v="83"/>
    <n v="67"/>
    <n v="75"/>
    <n v="11.94"/>
  </r>
  <r>
    <x v="30"/>
    <n v="64"/>
    <n v="76"/>
    <n v="90"/>
    <n v="74"/>
    <n v="95"/>
    <n v="28.38"/>
  </r>
  <r>
    <x v="31"/>
    <n v="1196"/>
    <n v="1239"/>
    <n v="1461"/>
    <n v="1457"/>
    <n v="1551"/>
    <n v="6.45"/>
  </r>
  <r>
    <x v="32"/>
    <n v="728"/>
    <n v="774"/>
    <n v="805"/>
    <n v="893"/>
    <n v="831"/>
    <n v="-6.94"/>
  </r>
  <r>
    <x v="33"/>
    <m/>
    <n v="56"/>
    <n v="62"/>
    <n v="59"/>
    <n v="61"/>
    <n v="3.39"/>
  </r>
  <r>
    <x v="34"/>
    <n v="0"/>
    <n v="1"/>
    <n v="2"/>
    <n v="0"/>
    <n v="0"/>
    <n v="0"/>
  </r>
  <r>
    <x v="35"/>
    <n v="145"/>
    <n v="140"/>
    <n v="181"/>
    <n v="149"/>
    <n v="218"/>
    <n v="46.31"/>
  </r>
  <r>
    <x v="36"/>
    <n v="138383"/>
    <n v="153972"/>
    <n v="168491"/>
    <n v="172890"/>
    <n v="177175"/>
    <n v="2.48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">
  <r>
    <x v="0"/>
    <n v="68783"/>
    <n v="31209"/>
    <n v="54574"/>
    <n v="68584"/>
    <n v="34030"/>
    <n v="51517"/>
    <n v="-0.3"/>
    <n v="9"/>
    <n v="-5.6"/>
  </r>
  <r>
    <x v="1"/>
    <n v="13810"/>
    <n v="5636"/>
    <n v="12575"/>
    <n v="11198"/>
    <n v="4486"/>
    <n v="10608"/>
    <n v="-18.899999999999999"/>
    <n v="-20.399999999999999"/>
    <n v="-15.6"/>
  </r>
  <r>
    <x v="2"/>
    <n v="110656"/>
    <n v="36804"/>
    <n v="107161"/>
    <n v="113907"/>
    <n v="37404"/>
    <n v="110160"/>
    <n v="2.9"/>
    <n v="1.6"/>
    <n v="2.8"/>
  </r>
  <r>
    <x v="3"/>
    <n v="73805"/>
    <n v="20623"/>
    <n v="74017"/>
    <n v="77112"/>
    <n v="21716"/>
    <n v="78302"/>
    <n v="4.5"/>
    <n v="5.3"/>
    <n v="5.8"/>
  </r>
  <r>
    <x v="4"/>
    <n v="21527"/>
    <n v="10196"/>
    <n v="20719"/>
    <n v="19082"/>
    <n v="8917"/>
    <n v="19560"/>
    <n v="-11.4"/>
    <n v="-12.5"/>
    <n v="-5.6"/>
  </r>
  <r>
    <x v="5"/>
    <n v="17451"/>
    <n v="8291"/>
    <n v="16416"/>
    <n v="16246"/>
    <n v="7521"/>
    <n v="14948"/>
    <n v="-6.9"/>
    <n v="-9.3000000000000007"/>
    <n v="-8.9"/>
  </r>
  <r>
    <x v="6"/>
    <n v="18905"/>
    <n v="9124"/>
    <n v="21216"/>
    <n v="17296"/>
    <n v="8419"/>
    <n v="19401"/>
    <n v="-8.5"/>
    <n v="-7.7"/>
    <n v="-8.6"/>
  </r>
  <r>
    <x v="7"/>
    <n v="84348"/>
    <n v="28898"/>
    <n v="89867"/>
    <n v="84429"/>
    <n v="28400"/>
    <n v="91863"/>
    <n v="0.1"/>
    <n v="-1.7"/>
    <n v="2.2000000000000002"/>
  </r>
  <r>
    <x v="8"/>
    <n v="71298"/>
    <n v="22109"/>
    <n v="66280"/>
    <n v="79853"/>
    <n v="26282"/>
    <n v="75082"/>
    <n v="12"/>
    <n v="18.899999999999999"/>
    <n v="13.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98E070-C9AD-48C4-B506-E6B180B04085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40" firstHeaderRow="1" firstDataRow="1" firstDataCol="1"/>
  <pivotFields count="8">
    <pivotField axis="axisRow" showAll="0" sortType="descending">
      <items count="38">
        <item h="1" x="36"/>
        <item x="28"/>
        <item x="0"/>
        <item x="1"/>
        <item x="2"/>
        <item x="3"/>
        <item x="29"/>
        <item x="4"/>
        <item x="30"/>
        <item x="31"/>
        <item x="5"/>
        <item x="6"/>
        <item x="7"/>
        <item x="8"/>
        <item x="32"/>
        <item x="9"/>
        <item x="10"/>
        <item x="11"/>
        <item x="33"/>
        <item x="34"/>
        <item x="12"/>
        <item x="13"/>
        <item x="14"/>
        <item x="15"/>
        <item x="16"/>
        <item x="17"/>
        <item x="18"/>
        <item x="35"/>
        <item x="19"/>
        <item x="20"/>
        <item x="21"/>
        <item x="22"/>
        <item x="23"/>
        <item x="24"/>
        <item x="26"/>
        <item x="25"/>
        <item x="2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0"/>
  </rowFields>
  <rowItems count="37">
    <i>
      <x v="31"/>
    </i>
    <i>
      <x v="20"/>
    </i>
    <i>
      <x v="17"/>
    </i>
    <i>
      <x v="34"/>
    </i>
    <i>
      <x v="16"/>
    </i>
    <i>
      <x v="21"/>
    </i>
    <i>
      <x v="32"/>
    </i>
    <i>
      <x v="29"/>
    </i>
    <i>
      <x v="2"/>
    </i>
    <i>
      <x v="11"/>
    </i>
    <i>
      <x v="7"/>
    </i>
    <i>
      <x v="36"/>
    </i>
    <i>
      <x v="26"/>
    </i>
    <i>
      <x v="5"/>
    </i>
    <i>
      <x v="12"/>
    </i>
    <i>
      <x v="4"/>
    </i>
    <i>
      <x v="28"/>
    </i>
    <i>
      <x v="14"/>
    </i>
    <i>
      <x v="9"/>
    </i>
    <i>
      <x v="15"/>
    </i>
    <i>
      <x v="10"/>
    </i>
    <i>
      <x v="13"/>
    </i>
    <i>
      <x v="35"/>
    </i>
    <i>
      <x v="27"/>
    </i>
    <i>
      <x v="33"/>
    </i>
    <i>
      <x v="22"/>
    </i>
    <i>
      <x v="3"/>
    </i>
    <i>
      <x v="23"/>
    </i>
    <i>
      <x v="18"/>
    </i>
    <i>
      <x v="6"/>
    </i>
    <i>
      <x v="8"/>
    </i>
    <i>
      <x v="30"/>
    </i>
    <i>
      <x v="1"/>
    </i>
    <i>
      <x v="25"/>
    </i>
    <i>
      <x v="24"/>
    </i>
    <i>
      <x v="19"/>
    </i>
    <i t="grand">
      <x/>
    </i>
  </rowItems>
  <colItems count="1">
    <i/>
  </colItems>
  <dataFields count="1">
    <dataField name="Sum of 2024 Accidents" fld="5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5B1BDB-F64B-45E1-A8B2-2ECC0A2B18D6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40" firstHeaderRow="1" firstDataRow="1" firstDataCol="1"/>
  <pivotFields count="7">
    <pivotField axis="axisRow" showAll="0" sortType="descending">
      <items count="38">
        <item x="27"/>
        <item x="25"/>
        <item x="26"/>
        <item x="24"/>
        <item x="23"/>
        <item x="22"/>
        <item x="21"/>
        <item x="20"/>
        <item x="19"/>
        <item x="35"/>
        <item x="18"/>
        <item x="17"/>
        <item x="16"/>
        <item x="15"/>
        <item x="14"/>
        <item x="13"/>
        <item x="12"/>
        <item x="34"/>
        <item x="33"/>
        <item x="11"/>
        <item x="10"/>
        <item x="9"/>
        <item x="32"/>
        <item x="8"/>
        <item x="7"/>
        <item x="6"/>
        <item x="5"/>
        <item x="31"/>
        <item x="30"/>
        <item x="4"/>
        <item x="29"/>
        <item x="3"/>
        <item x="2"/>
        <item x="1"/>
        <item x="0"/>
        <item x="28"/>
        <item h="1" x="3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  <pivotField showAll="0"/>
  </pivotFields>
  <rowFields count="1">
    <field x="0"/>
  </rowFields>
  <rowItems count="37">
    <i>
      <x v="2"/>
    </i>
    <i>
      <x v="5"/>
    </i>
    <i>
      <x v="15"/>
    </i>
    <i>
      <x v="16"/>
    </i>
    <i>
      <x v="20"/>
    </i>
    <i>
      <x v="7"/>
    </i>
    <i>
      <x v="31"/>
    </i>
    <i>
      <x v="34"/>
    </i>
    <i>
      <x v="4"/>
    </i>
    <i>
      <x v="25"/>
    </i>
    <i>
      <x v="29"/>
    </i>
    <i>
      <x/>
    </i>
    <i>
      <x v="10"/>
    </i>
    <i>
      <x v="8"/>
    </i>
    <i>
      <x v="24"/>
    </i>
    <i>
      <x v="21"/>
    </i>
    <i>
      <x v="19"/>
    </i>
    <i>
      <x v="32"/>
    </i>
    <i>
      <x v="27"/>
    </i>
    <i>
      <x v="1"/>
    </i>
    <i>
      <x v="23"/>
    </i>
    <i>
      <x v="22"/>
    </i>
    <i>
      <x v="26"/>
    </i>
    <i>
      <x v="3"/>
    </i>
    <i>
      <x v="9"/>
    </i>
    <i>
      <x v="13"/>
    </i>
    <i>
      <x v="33"/>
    </i>
    <i>
      <x v="12"/>
    </i>
    <i>
      <x v="28"/>
    </i>
    <i>
      <x v="30"/>
    </i>
    <i>
      <x v="14"/>
    </i>
    <i>
      <x v="6"/>
    </i>
    <i>
      <x v="11"/>
    </i>
    <i>
      <x v="18"/>
    </i>
    <i>
      <x v="35"/>
    </i>
    <i>
      <x v="17"/>
    </i>
    <i t="grand">
      <x/>
    </i>
  </rowItems>
  <colItems count="1">
    <i/>
  </colItems>
  <dataFields count="1">
    <dataField name="Sum of 2024 Killed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F117FB-49CC-4EC0-86F2-095A88209F44}" name="PivotTable3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3" firstHeaderRow="1" firstDataRow="1" firstDataCol="1"/>
  <pivotFields count="10">
    <pivotField axis="axisRow" showAll="0" sortType="descending">
      <items count="10">
        <item x="5"/>
        <item x="7"/>
        <item x="0"/>
        <item x="2"/>
        <item x="3"/>
        <item x="8"/>
        <item x="4"/>
        <item x="6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0"/>
  </rowFields>
  <rowItems count="10">
    <i>
      <x v="3"/>
    </i>
    <i>
      <x v="1"/>
    </i>
    <i>
      <x v="5"/>
    </i>
    <i>
      <x v="4"/>
    </i>
    <i>
      <x v="2"/>
    </i>
    <i>
      <x v="6"/>
    </i>
    <i>
      <x v="7"/>
    </i>
    <i>
      <x/>
    </i>
    <i>
      <x v="8"/>
    </i>
    <i t="grand">
      <x/>
    </i>
  </rowItems>
  <colItems count="1">
    <i/>
  </colItems>
  <dataFields count="1">
    <dataField name="Sum of 2024-Acciden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20BDCF22-67B2-4F50-985B-AF76CF0F958C}" autoFormatId="16" applyNumberFormats="0" applyBorderFormats="0" applyFontFormats="0" applyPatternFormats="0" applyAlignmentFormats="0" applyWidthHeightFormats="0">
  <queryTableRefresh nextId="15">
    <queryTableFields count="8">
      <queryTableField id="2" name="State" tableColumnId="2"/>
      <queryTableField id="3" name="2020 Accidents" tableColumnId="3"/>
      <queryTableField id="4" name="2021 Accidents" tableColumnId="4"/>
      <queryTableField id="5" name="2022 Accidents" tableColumnId="5"/>
      <queryTableField id="6" name="2023 Accidents" tableColumnId="6"/>
      <queryTableField id="7" name="2024 Accidents" tableColumnId="7"/>
      <queryTableField id="8" name="Change from 2023 to 2024" tableColumnId="8"/>
      <queryTableField id="9" name="% change from 2023 to 2024" tableColumnId="9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ECD0BAE-FD1A-421C-9CE9-692F29CB66BA}" autoFormatId="16" applyNumberFormats="0" applyBorderFormats="0" applyFontFormats="0" applyPatternFormats="0" applyAlignmentFormats="0" applyWidthHeightFormats="0">
  <queryTableRefresh nextId="14">
    <queryTableFields count="7">
      <queryTableField id="2" name="State" tableColumnId="2"/>
      <queryTableField id="3" name="2020 Killed" tableColumnId="3"/>
      <queryTableField id="4" name="2021 Killed" tableColumnId="4"/>
      <queryTableField id="5" name="2022 Killed" tableColumnId="5"/>
      <queryTableField id="6" name="2023 Killed" tableColumnId="6"/>
      <queryTableField id="7" name="2024 Killed" tableColumnId="7"/>
      <queryTableField id="8" name="% change from 2023 to 2024" tableColumnId="8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F6DC7F5F-DB27-45F4-B005-CE1F7D1A730D}" autoFormatId="16" applyNumberFormats="0" applyBorderFormats="0" applyFontFormats="0" applyPatternFormats="0" applyAlignmentFormats="0" applyWidthHeightFormats="0">
  <queryTableRefresh nextId="11">
    <queryTableFields count="10">
      <queryTableField id="1" name="Type of collision" tableColumnId="1"/>
      <queryTableField id="2" name="2023-Accidents" tableColumnId="2"/>
      <queryTableField id="3" name="2023-Killed" tableColumnId="3"/>
      <queryTableField id="4" name="2023-injured" tableColumnId="4"/>
      <queryTableField id="5" name="2024-Accidents" tableColumnId="5"/>
      <queryTableField id="6" name="2024-Killed" tableColumnId="6"/>
      <queryTableField id="7" name="2024-injured" tableColumnId="7"/>
      <queryTableField id="8" name="%Change-Accidents" tableColumnId="8"/>
      <queryTableField id="9" name="%Change-killed" tableColumnId="9"/>
      <queryTableField id="10" name="%Change-Injured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94E2C92-5FC9-48F6-A0FD-EF9E52EBBA50}" name="road_accidents_2024_states_road_accidents" displayName="road_accidents_2024_states_road_accidents" ref="A1:H38" tableType="queryTable" totalsRowShown="0">
  <autoFilter ref="A1:H38" xr:uid="{3298A68F-0E53-4D96-9487-8FC5610A6B72}"/>
  <sortState xmlns:xlrd2="http://schemas.microsoft.com/office/spreadsheetml/2017/richdata2" ref="A2:H38">
    <sortCondition descending="1" ref="F1:F38"/>
  </sortState>
  <tableColumns count="8">
    <tableColumn id="2" xr3:uid="{03ABD50A-ADE9-4080-8C31-5F5B13FEACB2}" uniqueName="2" name="State" queryTableFieldId="2" dataDxfId="4"/>
    <tableColumn id="3" xr3:uid="{49F2B4B9-6771-4432-8D13-938AE9D3DAF7}" uniqueName="3" name="2020 Accidents" queryTableFieldId="3" dataDxfId="3"/>
    <tableColumn id="4" xr3:uid="{3B47B280-D42C-45EB-859C-F1BAA372E238}" uniqueName="4" name="2021 Accidents" queryTableFieldId="4"/>
    <tableColumn id="5" xr3:uid="{CFDE722C-63D9-4639-A10F-C78E50D2009B}" uniqueName="5" name="2022 Accidents" queryTableFieldId="5"/>
    <tableColumn id="6" xr3:uid="{81CA9776-EEE9-4661-B519-C3718785515C}" uniqueName="6" name="2023 Accidents" queryTableFieldId="6"/>
    <tableColumn id="7" xr3:uid="{89DA9CD4-AD63-431F-83F3-037BB376D103}" uniqueName="7" name="2024 Accidents" queryTableFieldId="7"/>
    <tableColumn id="8" xr3:uid="{9C8FC2ED-2236-4A08-88B9-2A6404826F8B}" uniqueName="8" name="Change from 2023 to 2024" queryTableFieldId="8"/>
    <tableColumn id="9" xr3:uid="{DB5DE8F8-B50F-432D-BE85-FE99AEB2B5CA}" uniqueName="9" name="% change from 2023 to 2024" queryTableFieldId="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349EFE1-659F-46FA-95E0-EEA040D60B16}" name="road_accidents_2024_states_fatalities" displayName="road_accidents_2024_states_fatalities" ref="A1:G38" tableType="queryTable" totalsRowShown="0">
  <autoFilter ref="A1:G38" xr:uid="{C8D20100-70E3-4D0D-8585-03EDAEED9327}"/>
  <tableColumns count="7">
    <tableColumn id="2" xr3:uid="{035E907F-1BA6-4003-BCC8-3FFCE4F9D16D}" uniqueName="2" name="State" queryTableFieldId="2" dataDxfId="2"/>
    <tableColumn id="3" xr3:uid="{C2224A41-00AF-4692-A42E-C66C63620CFC}" uniqueName="3" name="2020 Killed" queryTableFieldId="3" dataDxfId="1"/>
    <tableColumn id="4" xr3:uid="{F4FB59B6-A8EE-4F8B-AEAE-7D6FD0CCA0DF}" uniqueName="4" name="2021 Killed" queryTableFieldId="4"/>
    <tableColumn id="5" xr3:uid="{28CCC0E5-EE0C-4CD5-80AB-11DA0B3B824E}" uniqueName="5" name="2022 Killed" queryTableFieldId="5"/>
    <tableColumn id="6" xr3:uid="{EFB6D0F9-419F-4A6E-A1DA-BD294157975A}" uniqueName="6" name="2023 Killed" queryTableFieldId="6"/>
    <tableColumn id="7" xr3:uid="{0494D249-D61D-450D-9C01-3F9E99B01102}" uniqueName="7" name="2024 Killed" queryTableFieldId="7"/>
    <tableColumn id="8" xr3:uid="{F97EC5A8-3126-40B5-9201-0B64BBAA0AB2}" uniqueName="8" name="% change from 2023 to 2024" queryTableFieldId="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DB9A7E1-6EE6-4318-8CF0-173255A9E5C9}" name="road_accidents_2024_type_of_collision" displayName="road_accidents_2024_type_of_collision" ref="A1:J10" tableType="queryTable" totalsRowShown="0">
  <autoFilter ref="A1:J10" xr:uid="{C8C3868F-C577-4F27-A65B-EC62A315421D}"/>
  <tableColumns count="10">
    <tableColumn id="1" xr3:uid="{C0DD4B2C-4E5C-4A8C-B7B7-04AF6FC75FF3}" uniqueName="1" name="Type of collision" queryTableFieldId="1" dataDxfId="0"/>
    <tableColumn id="2" xr3:uid="{50614E44-54AF-4D99-A32A-4E9AE1DB9565}" uniqueName="2" name="2023-Accidents" queryTableFieldId="2"/>
    <tableColumn id="3" xr3:uid="{49F5A46C-792E-4B43-BD78-AF1306296167}" uniqueName="3" name="2023-Killed" queryTableFieldId="3"/>
    <tableColumn id="4" xr3:uid="{F1B413D1-9095-4F67-A01F-14A0FC00F256}" uniqueName="4" name="2023-injured" queryTableFieldId="4"/>
    <tableColumn id="5" xr3:uid="{71B3991D-51E2-4A56-9A84-6C36F3587088}" uniqueName="5" name="2024-Accidents" queryTableFieldId="5"/>
    <tableColumn id="6" xr3:uid="{72EEF601-A535-485D-8588-47DA0B5E10BF}" uniqueName="6" name="2024-Killed" queryTableFieldId="6"/>
    <tableColumn id="7" xr3:uid="{01204265-2B72-425A-B5FA-C0A4A079301B}" uniqueName="7" name="2024-injured" queryTableFieldId="7"/>
    <tableColumn id="8" xr3:uid="{B0EC24E3-1DAB-47B4-A0C4-F93426B2D2C1}" uniqueName="8" name="%Change-Accidents" queryTableFieldId="8"/>
    <tableColumn id="9" xr3:uid="{8103E1E5-FC98-4267-835A-038CFE6C8991}" uniqueName="9" name="%Change-killed" queryTableFieldId="9"/>
    <tableColumn id="10" xr3:uid="{559B82DD-5237-4C7E-91F0-F48D1BE9E682}" uniqueName="10" name="%Change-Injured" queryTableFieldId="1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FADDC-1779-443B-A295-576E64C92747}">
  <dimension ref="A3:B40"/>
  <sheetViews>
    <sheetView workbookViewId="0">
      <selection activeCell="B5" sqref="B5"/>
    </sheetView>
  </sheetViews>
  <sheetFormatPr defaultRowHeight="15" x14ac:dyDescent="0.25"/>
  <cols>
    <col min="1" max="1" width="36" bestFit="1" customWidth="1"/>
    <col min="2" max="3" width="20.85546875" bestFit="1" customWidth="1"/>
  </cols>
  <sheetData>
    <row r="3" spans="1:2" x14ac:dyDescent="0.25">
      <c r="A3" s="1" t="s">
        <v>73</v>
      </c>
      <c r="B3" t="s">
        <v>75</v>
      </c>
    </row>
    <row r="4" spans="1:2" x14ac:dyDescent="0.25">
      <c r="A4" s="2" t="s">
        <v>14</v>
      </c>
      <c r="B4">
        <v>67526</v>
      </c>
    </row>
    <row r="5" spans="1:2" x14ac:dyDescent="0.25">
      <c r="A5" s="2" t="s">
        <v>24</v>
      </c>
      <c r="B5">
        <v>56669</v>
      </c>
    </row>
    <row r="6" spans="1:2" x14ac:dyDescent="0.25">
      <c r="A6" s="2" t="s">
        <v>25</v>
      </c>
      <c r="B6">
        <v>48834</v>
      </c>
    </row>
    <row r="7" spans="1:2" x14ac:dyDescent="0.25">
      <c r="A7" s="2" t="s">
        <v>10</v>
      </c>
      <c r="B7">
        <v>46052</v>
      </c>
    </row>
    <row r="8" spans="1:2" x14ac:dyDescent="0.25">
      <c r="A8" s="2" t="s">
        <v>26</v>
      </c>
      <c r="B8">
        <v>43062</v>
      </c>
    </row>
    <row r="9" spans="1:2" x14ac:dyDescent="0.25">
      <c r="A9" s="2" t="s">
        <v>23</v>
      </c>
      <c r="B9">
        <v>36118</v>
      </c>
    </row>
    <row r="10" spans="1:2" x14ac:dyDescent="0.25">
      <c r="A10" s="2" t="s">
        <v>13</v>
      </c>
      <c r="B10">
        <v>25986</v>
      </c>
    </row>
    <row r="11" spans="1:2" x14ac:dyDescent="0.25">
      <c r="A11" s="2" t="s">
        <v>16</v>
      </c>
      <c r="B11">
        <v>24838</v>
      </c>
    </row>
    <row r="12" spans="1:2" x14ac:dyDescent="0.25">
      <c r="A12" s="2" t="s">
        <v>36</v>
      </c>
      <c r="B12">
        <v>19557</v>
      </c>
    </row>
    <row r="13" spans="1:2" x14ac:dyDescent="0.25">
      <c r="A13" s="2" t="s">
        <v>30</v>
      </c>
      <c r="B13">
        <v>15588</v>
      </c>
    </row>
    <row r="14" spans="1:2" x14ac:dyDescent="0.25">
      <c r="A14" s="2" t="s">
        <v>32</v>
      </c>
      <c r="B14">
        <v>14857</v>
      </c>
    </row>
    <row r="15" spans="1:2" x14ac:dyDescent="0.25">
      <c r="A15" s="2" t="s">
        <v>9</v>
      </c>
      <c r="B15">
        <v>13702</v>
      </c>
    </row>
    <row r="16" spans="1:2" x14ac:dyDescent="0.25">
      <c r="A16" s="2" t="s">
        <v>18</v>
      </c>
      <c r="B16">
        <v>12375</v>
      </c>
    </row>
    <row r="17" spans="1:2" x14ac:dyDescent="0.25">
      <c r="A17" s="2" t="s">
        <v>33</v>
      </c>
      <c r="B17">
        <v>11610</v>
      </c>
    </row>
    <row r="18" spans="1:2" x14ac:dyDescent="0.25">
      <c r="A18" s="2" t="s">
        <v>29</v>
      </c>
      <c r="B18">
        <v>9806</v>
      </c>
    </row>
    <row r="19" spans="1:2" x14ac:dyDescent="0.25">
      <c r="A19" s="2" t="s">
        <v>34</v>
      </c>
      <c r="B19">
        <v>7848</v>
      </c>
    </row>
    <row r="20" spans="1:2" x14ac:dyDescent="0.25">
      <c r="A20" s="2" t="s">
        <v>17</v>
      </c>
      <c r="B20">
        <v>6063</v>
      </c>
    </row>
    <row r="21" spans="1:2" x14ac:dyDescent="0.25">
      <c r="A21" s="2" t="s">
        <v>4</v>
      </c>
      <c r="B21">
        <v>5808</v>
      </c>
    </row>
    <row r="22" spans="1:2" x14ac:dyDescent="0.25">
      <c r="A22" s="2" t="s">
        <v>5</v>
      </c>
      <c r="B22">
        <v>5657</v>
      </c>
    </row>
    <row r="23" spans="1:2" x14ac:dyDescent="0.25">
      <c r="A23" s="2" t="s">
        <v>27</v>
      </c>
      <c r="B23">
        <v>5196</v>
      </c>
    </row>
    <row r="24" spans="1:2" x14ac:dyDescent="0.25">
      <c r="A24" s="2" t="s">
        <v>31</v>
      </c>
      <c r="B24">
        <v>2682</v>
      </c>
    </row>
    <row r="25" spans="1:2" x14ac:dyDescent="0.25">
      <c r="A25" s="2" t="s">
        <v>28</v>
      </c>
      <c r="B25">
        <v>2156</v>
      </c>
    </row>
    <row r="26" spans="1:2" x14ac:dyDescent="0.25">
      <c r="A26" s="2" t="s">
        <v>11</v>
      </c>
      <c r="B26">
        <v>1747</v>
      </c>
    </row>
    <row r="27" spans="1:2" x14ac:dyDescent="0.25">
      <c r="A27" s="2" t="s">
        <v>1</v>
      </c>
      <c r="B27">
        <v>1431</v>
      </c>
    </row>
    <row r="28" spans="1:2" x14ac:dyDescent="0.25">
      <c r="A28" s="2" t="s">
        <v>12</v>
      </c>
      <c r="B28">
        <v>578</v>
      </c>
    </row>
    <row r="29" spans="1:2" x14ac:dyDescent="0.25">
      <c r="A29" s="2" t="s">
        <v>22</v>
      </c>
      <c r="B29">
        <v>299</v>
      </c>
    </row>
    <row r="30" spans="1:2" x14ac:dyDescent="0.25">
      <c r="A30" s="2" t="s">
        <v>35</v>
      </c>
      <c r="B30">
        <v>277</v>
      </c>
    </row>
    <row r="31" spans="1:2" x14ac:dyDescent="0.25">
      <c r="A31" s="2" t="s">
        <v>21</v>
      </c>
      <c r="B31">
        <v>269</v>
      </c>
    </row>
    <row r="32" spans="1:2" x14ac:dyDescent="0.25">
      <c r="A32" s="2" t="s">
        <v>3</v>
      </c>
      <c r="B32">
        <v>264</v>
      </c>
    </row>
    <row r="33" spans="1:2" x14ac:dyDescent="0.25">
      <c r="A33" s="2" t="s">
        <v>7</v>
      </c>
      <c r="B33">
        <v>169</v>
      </c>
    </row>
    <row r="34" spans="1:2" x14ac:dyDescent="0.25">
      <c r="A34" s="2" t="s">
        <v>6</v>
      </c>
      <c r="B34">
        <v>152</v>
      </c>
    </row>
    <row r="35" spans="1:2" x14ac:dyDescent="0.25">
      <c r="A35" s="2" t="s">
        <v>15</v>
      </c>
      <c r="B35">
        <v>149</v>
      </c>
    </row>
    <row r="36" spans="1:2" x14ac:dyDescent="0.25">
      <c r="A36" s="2" t="s">
        <v>8</v>
      </c>
      <c r="B36">
        <v>135</v>
      </c>
    </row>
    <row r="37" spans="1:2" x14ac:dyDescent="0.25">
      <c r="A37" s="2" t="s">
        <v>19</v>
      </c>
      <c r="B37">
        <v>129</v>
      </c>
    </row>
    <row r="38" spans="1:2" x14ac:dyDescent="0.25">
      <c r="A38" s="2" t="s">
        <v>20</v>
      </c>
      <c r="B38">
        <v>118</v>
      </c>
    </row>
    <row r="39" spans="1:2" x14ac:dyDescent="0.25">
      <c r="A39" s="2" t="s">
        <v>2</v>
      </c>
      <c r="B39">
        <v>0</v>
      </c>
    </row>
    <row r="40" spans="1:2" x14ac:dyDescent="0.25">
      <c r="A40" s="2" t="s">
        <v>74</v>
      </c>
      <c r="B40">
        <v>487707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53864-A705-4863-8F41-B4A00B5EB4A5}">
  <dimension ref="A1:H38"/>
  <sheetViews>
    <sheetView zoomScaleNormal="100" workbookViewId="0">
      <selection activeCell="F3" activeCellId="1" sqref="A3:A7 F3:F7"/>
    </sheetView>
  </sheetViews>
  <sheetFormatPr defaultRowHeight="15" x14ac:dyDescent="0.25"/>
  <cols>
    <col min="1" max="1" width="36.5703125" bestFit="1" customWidth="1"/>
    <col min="2" max="6" width="16.7109375" bestFit="1" customWidth="1"/>
    <col min="7" max="7" width="26.42578125" bestFit="1" customWidth="1"/>
    <col min="8" max="9" width="28.140625" bestFit="1" customWidth="1"/>
    <col min="10" max="14" width="14.85546875" bestFit="1" customWidth="1"/>
  </cols>
  <sheetData>
    <row r="1" spans="1:8" x14ac:dyDescent="0.25">
      <c r="A1" t="s">
        <v>44</v>
      </c>
      <c r="B1" t="s">
        <v>43</v>
      </c>
      <c r="C1" t="s">
        <v>42</v>
      </c>
      <c r="D1" t="s">
        <v>41</v>
      </c>
      <c r="E1" t="s">
        <v>40</v>
      </c>
      <c r="F1" t="s">
        <v>39</v>
      </c>
      <c r="G1" t="s">
        <v>38</v>
      </c>
      <c r="H1" t="s">
        <v>37</v>
      </c>
    </row>
    <row r="2" spans="1:8" x14ac:dyDescent="0.25">
      <c r="A2" t="s">
        <v>0</v>
      </c>
      <c r="B2">
        <v>372181</v>
      </c>
      <c r="C2">
        <v>412432</v>
      </c>
      <c r="D2">
        <v>461312</v>
      </c>
      <c r="E2">
        <v>480583</v>
      </c>
      <c r="F2">
        <v>487707</v>
      </c>
      <c r="G2">
        <v>7124</v>
      </c>
      <c r="H2">
        <v>1.5</v>
      </c>
    </row>
    <row r="3" spans="1:8" x14ac:dyDescent="0.25">
      <c r="A3" t="s">
        <v>14</v>
      </c>
      <c r="B3">
        <v>49844</v>
      </c>
      <c r="C3">
        <v>55682</v>
      </c>
      <c r="D3">
        <v>64105</v>
      </c>
      <c r="E3">
        <v>67213</v>
      </c>
      <c r="F3">
        <v>67526</v>
      </c>
      <c r="G3">
        <v>313</v>
      </c>
      <c r="H3">
        <v>0.5</v>
      </c>
    </row>
    <row r="4" spans="1:8" x14ac:dyDescent="0.25">
      <c r="A4" t="s">
        <v>24</v>
      </c>
      <c r="B4">
        <v>45266</v>
      </c>
      <c r="C4">
        <v>48877</v>
      </c>
      <c r="D4">
        <v>54432</v>
      </c>
      <c r="E4">
        <v>55327</v>
      </c>
      <c r="F4">
        <v>56669</v>
      </c>
      <c r="G4">
        <v>1342</v>
      </c>
      <c r="H4">
        <v>2.4</v>
      </c>
    </row>
    <row r="5" spans="1:8" x14ac:dyDescent="0.25">
      <c r="A5" t="s">
        <v>25</v>
      </c>
      <c r="B5">
        <v>27877</v>
      </c>
      <c r="C5">
        <v>33296</v>
      </c>
      <c r="D5">
        <v>43910</v>
      </c>
      <c r="E5">
        <v>48091</v>
      </c>
      <c r="F5">
        <v>48834</v>
      </c>
      <c r="G5">
        <v>743</v>
      </c>
      <c r="H5">
        <v>1.5</v>
      </c>
    </row>
    <row r="6" spans="1:8" x14ac:dyDescent="0.25">
      <c r="A6" t="s">
        <v>10</v>
      </c>
      <c r="B6">
        <v>34243</v>
      </c>
      <c r="C6">
        <v>37729</v>
      </c>
      <c r="D6">
        <v>41746</v>
      </c>
      <c r="E6">
        <v>44534</v>
      </c>
      <c r="F6">
        <v>46052</v>
      </c>
      <c r="G6">
        <v>1518</v>
      </c>
      <c r="H6">
        <v>3.4</v>
      </c>
    </row>
    <row r="7" spans="1:8" x14ac:dyDescent="0.25">
      <c r="A7" t="s">
        <v>26</v>
      </c>
      <c r="B7">
        <v>34178</v>
      </c>
      <c r="C7">
        <v>34647</v>
      </c>
      <c r="D7">
        <v>39762</v>
      </c>
      <c r="E7">
        <v>43440</v>
      </c>
      <c r="F7">
        <v>43062</v>
      </c>
      <c r="G7">
        <v>-378</v>
      </c>
      <c r="H7">
        <v>-0.9</v>
      </c>
    </row>
    <row r="8" spans="1:8" x14ac:dyDescent="0.25">
      <c r="A8" t="s">
        <v>23</v>
      </c>
      <c r="B8">
        <v>24971</v>
      </c>
      <c r="C8">
        <v>29477</v>
      </c>
      <c r="D8">
        <v>33383</v>
      </c>
      <c r="E8">
        <v>35243</v>
      </c>
      <c r="F8">
        <v>36118</v>
      </c>
      <c r="G8">
        <v>875</v>
      </c>
      <c r="H8">
        <v>2.5</v>
      </c>
    </row>
    <row r="9" spans="1:8" x14ac:dyDescent="0.25">
      <c r="A9" t="s">
        <v>13</v>
      </c>
      <c r="B9">
        <v>19172</v>
      </c>
      <c r="C9">
        <v>21315</v>
      </c>
      <c r="D9">
        <v>21619</v>
      </c>
      <c r="E9">
        <v>22903</v>
      </c>
      <c r="F9">
        <v>25986</v>
      </c>
      <c r="G9">
        <v>3083</v>
      </c>
      <c r="H9">
        <v>13.5</v>
      </c>
    </row>
    <row r="10" spans="1:8" x14ac:dyDescent="0.25">
      <c r="A10" t="s">
        <v>16</v>
      </c>
      <c r="B10">
        <v>19114</v>
      </c>
      <c r="C10">
        <v>20951</v>
      </c>
      <c r="D10">
        <v>23614</v>
      </c>
      <c r="E10">
        <v>24694</v>
      </c>
      <c r="F10">
        <v>24838</v>
      </c>
      <c r="G10">
        <v>144</v>
      </c>
      <c r="H10">
        <v>0.6</v>
      </c>
    </row>
    <row r="11" spans="1:8" x14ac:dyDescent="0.25">
      <c r="A11" t="s">
        <v>36</v>
      </c>
      <c r="B11">
        <v>19509</v>
      </c>
      <c r="C11">
        <v>21556</v>
      </c>
      <c r="D11">
        <v>21249</v>
      </c>
      <c r="E11">
        <v>19949</v>
      </c>
      <c r="F11">
        <v>19557</v>
      </c>
      <c r="G11">
        <v>-392</v>
      </c>
      <c r="H11">
        <v>-2</v>
      </c>
    </row>
    <row r="12" spans="1:8" x14ac:dyDescent="0.25">
      <c r="A12" t="s">
        <v>30</v>
      </c>
      <c r="B12">
        <v>13398</v>
      </c>
      <c r="C12">
        <v>15186</v>
      </c>
      <c r="D12">
        <v>15751</v>
      </c>
      <c r="E12">
        <v>16349</v>
      </c>
      <c r="F12">
        <v>15588</v>
      </c>
      <c r="G12">
        <v>-761</v>
      </c>
      <c r="H12">
        <v>-4.7</v>
      </c>
    </row>
    <row r="13" spans="1:8" x14ac:dyDescent="0.25">
      <c r="A13" t="s">
        <v>32</v>
      </c>
      <c r="B13">
        <v>11656</v>
      </c>
      <c r="C13">
        <v>12375</v>
      </c>
      <c r="D13">
        <v>13279</v>
      </c>
      <c r="E13">
        <v>13468</v>
      </c>
      <c r="F13">
        <v>14857</v>
      </c>
      <c r="G13">
        <v>1389</v>
      </c>
      <c r="H13">
        <v>10.3</v>
      </c>
    </row>
    <row r="14" spans="1:8" x14ac:dyDescent="0.25">
      <c r="A14" t="s">
        <v>9</v>
      </c>
      <c r="B14">
        <v>10863</v>
      </c>
      <c r="C14">
        <v>11937</v>
      </c>
      <c r="D14">
        <v>13686</v>
      </c>
      <c r="E14">
        <v>13795</v>
      </c>
      <c r="F14">
        <v>13702</v>
      </c>
      <c r="G14">
        <v>-93</v>
      </c>
      <c r="H14">
        <v>-0.7</v>
      </c>
    </row>
    <row r="15" spans="1:8" x14ac:dyDescent="0.25">
      <c r="A15" t="s">
        <v>18</v>
      </c>
      <c r="B15">
        <v>9817</v>
      </c>
      <c r="C15">
        <v>10983</v>
      </c>
      <c r="D15">
        <v>11663</v>
      </c>
      <c r="E15">
        <v>11992</v>
      </c>
      <c r="F15">
        <v>12375</v>
      </c>
      <c r="G15">
        <v>383</v>
      </c>
      <c r="H15">
        <v>3.2</v>
      </c>
    </row>
    <row r="16" spans="1:8" x14ac:dyDescent="0.25">
      <c r="A16" t="s">
        <v>33</v>
      </c>
      <c r="B16">
        <v>8639</v>
      </c>
      <c r="C16">
        <v>9553</v>
      </c>
      <c r="D16">
        <v>10801</v>
      </c>
      <c r="E16">
        <v>11014</v>
      </c>
      <c r="F16">
        <v>11610</v>
      </c>
      <c r="G16">
        <v>596</v>
      </c>
      <c r="H16">
        <v>5.4</v>
      </c>
    </row>
    <row r="17" spans="1:8" x14ac:dyDescent="0.25">
      <c r="A17" t="s">
        <v>29</v>
      </c>
      <c r="B17">
        <v>9431</v>
      </c>
      <c r="C17">
        <v>9933</v>
      </c>
      <c r="D17">
        <v>10429</v>
      </c>
      <c r="E17">
        <v>10463</v>
      </c>
      <c r="F17">
        <v>9806</v>
      </c>
      <c r="G17">
        <v>-657</v>
      </c>
      <c r="H17">
        <v>-6.3</v>
      </c>
    </row>
    <row r="18" spans="1:8" x14ac:dyDescent="0.25">
      <c r="A18" t="s">
        <v>34</v>
      </c>
      <c r="B18">
        <v>6595</v>
      </c>
      <c r="C18">
        <v>7411</v>
      </c>
      <c r="D18">
        <v>7023</v>
      </c>
      <c r="E18">
        <v>7421</v>
      </c>
      <c r="F18">
        <v>7848</v>
      </c>
      <c r="G18">
        <v>427</v>
      </c>
      <c r="H18">
        <v>5.8</v>
      </c>
    </row>
    <row r="19" spans="1:8" x14ac:dyDescent="0.25">
      <c r="A19" t="s">
        <v>17</v>
      </c>
      <c r="B19">
        <v>5203</v>
      </c>
      <c r="C19">
        <v>5871</v>
      </c>
      <c r="D19">
        <v>6138</v>
      </c>
      <c r="E19">
        <v>6269</v>
      </c>
      <c r="F19">
        <v>6063</v>
      </c>
      <c r="G19">
        <v>-206</v>
      </c>
      <c r="H19">
        <v>-3.3</v>
      </c>
    </row>
    <row r="20" spans="1:8" x14ac:dyDescent="0.25">
      <c r="A20" t="s">
        <v>4</v>
      </c>
      <c r="B20">
        <v>4860</v>
      </c>
      <c r="C20">
        <v>5452</v>
      </c>
      <c r="D20">
        <v>6092</v>
      </c>
      <c r="E20">
        <v>6298</v>
      </c>
      <c r="F20">
        <v>5808</v>
      </c>
      <c r="G20">
        <v>-490</v>
      </c>
      <c r="H20">
        <v>-7.8</v>
      </c>
    </row>
    <row r="21" spans="1:8" x14ac:dyDescent="0.25">
      <c r="A21" t="s">
        <v>5</v>
      </c>
      <c r="B21">
        <v>4178</v>
      </c>
      <c r="C21">
        <v>4720</v>
      </c>
      <c r="D21">
        <v>5652</v>
      </c>
      <c r="E21">
        <v>5834</v>
      </c>
      <c r="F21">
        <v>5657</v>
      </c>
      <c r="G21">
        <v>-177</v>
      </c>
      <c r="H21">
        <v>-3</v>
      </c>
    </row>
    <row r="22" spans="1:8" x14ac:dyDescent="0.25">
      <c r="A22" t="s">
        <v>27</v>
      </c>
      <c r="B22">
        <v>4405</v>
      </c>
      <c r="C22">
        <v>4728</v>
      </c>
      <c r="D22">
        <v>5175</v>
      </c>
      <c r="E22">
        <v>5315</v>
      </c>
      <c r="F22">
        <v>5196</v>
      </c>
      <c r="G22">
        <v>-119</v>
      </c>
      <c r="H22">
        <v>-2.2000000000000002</v>
      </c>
    </row>
    <row r="23" spans="1:8" x14ac:dyDescent="0.25">
      <c r="A23" t="s">
        <v>31</v>
      </c>
      <c r="B23">
        <v>2375</v>
      </c>
      <c r="C23">
        <v>2849</v>
      </c>
      <c r="D23">
        <v>3011</v>
      </c>
      <c r="E23">
        <v>2846</v>
      </c>
      <c r="F23">
        <v>2682</v>
      </c>
      <c r="G23">
        <v>-164</v>
      </c>
      <c r="H23">
        <v>-5.8</v>
      </c>
    </row>
    <row r="24" spans="1:8" x14ac:dyDescent="0.25">
      <c r="A24" t="s">
        <v>28</v>
      </c>
      <c r="B24">
        <v>2239</v>
      </c>
      <c r="C24">
        <v>2404</v>
      </c>
      <c r="D24">
        <v>2597</v>
      </c>
      <c r="E24">
        <v>2253</v>
      </c>
      <c r="F24">
        <v>2156</v>
      </c>
      <c r="G24">
        <v>-97</v>
      </c>
      <c r="H24">
        <v>-4.3</v>
      </c>
    </row>
    <row r="25" spans="1:8" x14ac:dyDescent="0.25">
      <c r="A25" t="s">
        <v>11</v>
      </c>
      <c r="B25">
        <v>1041</v>
      </c>
      <c r="C25">
        <v>1405</v>
      </c>
      <c r="D25">
        <v>1674</v>
      </c>
      <c r="E25">
        <v>1691</v>
      </c>
      <c r="F25">
        <v>1747</v>
      </c>
      <c r="G25">
        <v>56</v>
      </c>
      <c r="H25">
        <v>3.3</v>
      </c>
    </row>
    <row r="26" spans="1:8" x14ac:dyDescent="0.25">
      <c r="A26" t="s">
        <v>1</v>
      </c>
      <c r="B26">
        <v>969</v>
      </c>
      <c r="C26">
        <v>1049</v>
      </c>
      <c r="D26">
        <v>1181</v>
      </c>
      <c r="E26">
        <v>1308</v>
      </c>
      <c r="F26">
        <v>1431</v>
      </c>
      <c r="G26">
        <v>123</v>
      </c>
      <c r="H26">
        <v>9.4</v>
      </c>
    </row>
    <row r="27" spans="1:8" x14ac:dyDescent="0.25">
      <c r="A27" t="s">
        <v>12</v>
      </c>
      <c r="B27">
        <v>466</v>
      </c>
      <c r="C27">
        <v>479</v>
      </c>
      <c r="D27">
        <v>575</v>
      </c>
      <c r="E27">
        <v>577</v>
      </c>
      <c r="F27">
        <v>578</v>
      </c>
      <c r="G27">
        <v>1</v>
      </c>
      <c r="H27">
        <v>0.2</v>
      </c>
    </row>
    <row r="28" spans="1:8" x14ac:dyDescent="0.25">
      <c r="A28" t="s">
        <v>22</v>
      </c>
      <c r="B28">
        <v>432</v>
      </c>
      <c r="C28">
        <v>366</v>
      </c>
      <c r="D28">
        <v>508</v>
      </c>
      <c r="E28">
        <v>398</v>
      </c>
      <c r="F28">
        <v>299</v>
      </c>
      <c r="G28">
        <v>-99</v>
      </c>
      <c r="H28">
        <v>-24.9</v>
      </c>
    </row>
    <row r="29" spans="1:8" x14ac:dyDescent="0.25">
      <c r="A29" t="s">
        <v>35</v>
      </c>
      <c r="B29">
        <v>134</v>
      </c>
      <c r="C29">
        <v>283</v>
      </c>
      <c r="D29">
        <v>227</v>
      </c>
      <c r="E29">
        <v>287</v>
      </c>
      <c r="F29">
        <v>277</v>
      </c>
      <c r="G29">
        <v>-10</v>
      </c>
      <c r="H29">
        <v>-3.5</v>
      </c>
    </row>
    <row r="30" spans="1:8" x14ac:dyDescent="0.25">
      <c r="A30" t="s">
        <v>21</v>
      </c>
      <c r="B30">
        <v>214</v>
      </c>
      <c r="C30">
        <v>245</v>
      </c>
      <c r="D30">
        <v>246</v>
      </c>
      <c r="E30">
        <v>223</v>
      </c>
      <c r="F30">
        <v>269</v>
      </c>
      <c r="G30">
        <v>46</v>
      </c>
      <c r="H30">
        <v>20.6</v>
      </c>
    </row>
    <row r="31" spans="1:8" x14ac:dyDescent="0.25">
      <c r="A31" t="s">
        <v>3</v>
      </c>
      <c r="C31">
        <v>236</v>
      </c>
      <c r="D31">
        <v>374</v>
      </c>
      <c r="E31">
        <v>289</v>
      </c>
      <c r="F31">
        <v>264</v>
      </c>
      <c r="G31">
        <v>-25</v>
      </c>
      <c r="H31">
        <v>-8.6999999999999993</v>
      </c>
    </row>
    <row r="32" spans="1:8" x14ac:dyDescent="0.25">
      <c r="A32" t="s">
        <v>7</v>
      </c>
      <c r="B32">
        <v>159</v>
      </c>
      <c r="C32">
        <v>208</v>
      </c>
      <c r="D32">
        <v>237</v>
      </c>
      <c r="E32">
        <v>182</v>
      </c>
      <c r="F32">
        <v>169</v>
      </c>
      <c r="G32">
        <v>-13</v>
      </c>
      <c r="H32">
        <v>-7.1</v>
      </c>
    </row>
    <row r="33" spans="1:8" x14ac:dyDescent="0.25">
      <c r="A33" t="s">
        <v>6</v>
      </c>
      <c r="B33">
        <v>100</v>
      </c>
      <c r="C33">
        <v>140</v>
      </c>
      <c r="D33">
        <v>196</v>
      </c>
      <c r="E33">
        <v>182</v>
      </c>
      <c r="F33">
        <v>152</v>
      </c>
      <c r="G33">
        <v>-30</v>
      </c>
      <c r="H33">
        <v>-16.5</v>
      </c>
    </row>
    <row r="34" spans="1:8" x14ac:dyDescent="0.25">
      <c r="A34" t="s">
        <v>15</v>
      </c>
      <c r="B34">
        <v>138</v>
      </c>
      <c r="C34">
        <v>155</v>
      </c>
      <c r="D34">
        <v>211</v>
      </c>
      <c r="E34">
        <v>182</v>
      </c>
      <c r="F34">
        <v>149</v>
      </c>
      <c r="G34">
        <v>-33</v>
      </c>
      <c r="H34">
        <v>-18.100000000000001</v>
      </c>
    </row>
    <row r="35" spans="1:8" x14ac:dyDescent="0.25">
      <c r="A35" t="s">
        <v>8</v>
      </c>
      <c r="B35">
        <v>141</v>
      </c>
      <c r="C35">
        <v>115</v>
      </c>
      <c r="D35">
        <v>141</v>
      </c>
      <c r="E35">
        <v>143</v>
      </c>
      <c r="F35">
        <v>135</v>
      </c>
      <c r="G35">
        <v>-8</v>
      </c>
      <c r="H35">
        <v>-5.6</v>
      </c>
    </row>
    <row r="36" spans="1:8" x14ac:dyDescent="0.25">
      <c r="A36" t="s">
        <v>19</v>
      </c>
      <c r="B36">
        <v>500</v>
      </c>
      <c r="C36">
        <v>746</v>
      </c>
      <c r="D36">
        <v>489</v>
      </c>
      <c r="E36">
        <v>303</v>
      </c>
      <c r="F36">
        <v>129</v>
      </c>
      <c r="G36">
        <v>-174</v>
      </c>
      <c r="H36">
        <v>-57.4</v>
      </c>
    </row>
    <row r="37" spans="1:8" x14ac:dyDescent="0.25">
      <c r="A37" t="s">
        <v>20</v>
      </c>
      <c r="B37">
        <v>53</v>
      </c>
      <c r="C37">
        <v>69</v>
      </c>
      <c r="D37">
        <v>133</v>
      </c>
      <c r="E37">
        <v>106</v>
      </c>
      <c r="F37">
        <v>118</v>
      </c>
      <c r="G37">
        <v>12</v>
      </c>
      <c r="H37">
        <v>11.3</v>
      </c>
    </row>
    <row r="38" spans="1:8" x14ac:dyDescent="0.25">
      <c r="A38" t="s">
        <v>2</v>
      </c>
      <c r="B38">
        <v>1</v>
      </c>
      <c r="C38">
        <v>4</v>
      </c>
      <c r="D38">
        <v>3</v>
      </c>
      <c r="E38">
        <v>1</v>
      </c>
      <c r="F38">
        <v>0</v>
      </c>
      <c r="G38">
        <v>-1</v>
      </c>
      <c r="H38">
        <v>-100</v>
      </c>
    </row>
  </sheetData>
  <phoneticPr fontId="3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181C5-A176-4B21-B816-6D6153479044}">
  <dimension ref="A3:B40"/>
  <sheetViews>
    <sheetView workbookViewId="0">
      <selection activeCell="D17" sqref="D17"/>
    </sheetView>
  </sheetViews>
  <sheetFormatPr defaultRowHeight="15" x14ac:dyDescent="0.25"/>
  <cols>
    <col min="1" max="1" width="36" bestFit="1" customWidth="1"/>
    <col min="2" max="2" width="17.42578125" bestFit="1" customWidth="1"/>
  </cols>
  <sheetData>
    <row r="3" spans="1:2" x14ac:dyDescent="0.25">
      <c r="A3" s="1" t="s">
        <v>73</v>
      </c>
      <c r="B3" t="s">
        <v>77</v>
      </c>
    </row>
    <row r="4" spans="1:2" x14ac:dyDescent="0.25">
      <c r="A4" s="2" t="s">
        <v>10</v>
      </c>
      <c r="B4">
        <v>24118</v>
      </c>
    </row>
    <row r="5" spans="1:2" x14ac:dyDescent="0.25">
      <c r="A5" s="2" t="s">
        <v>14</v>
      </c>
      <c r="B5">
        <v>18449</v>
      </c>
    </row>
    <row r="6" spans="1:2" x14ac:dyDescent="0.25">
      <c r="A6" s="2" t="s">
        <v>23</v>
      </c>
      <c r="B6">
        <v>15715</v>
      </c>
    </row>
    <row r="7" spans="1:2" x14ac:dyDescent="0.25">
      <c r="A7" s="2" t="s">
        <v>24</v>
      </c>
      <c r="B7">
        <v>14791</v>
      </c>
    </row>
    <row r="8" spans="1:2" x14ac:dyDescent="0.25">
      <c r="A8" s="2" t="s">
        <v>26</v>
      </c>
      <c r="B8">
        <v>12390</v>
      </c>
    </row>
    <row r="9" spans="1:2" x14ac:dyDescent="0.25">
      <c r="A9" s="2" t="s">
        <v>16</v>
      </c>
      <c r="B9">
        <v>11790</v>
      </c>
    </row>
    <row r="10" spans="1:2" x14ac:dyDescent="0.25">
      <c r="A10" s="2" t="s">
        <v>33</v>
      </c>
      <c r="B10">
        <v>9347</v>
      </c>
    </row>
    <row r="11" spans="1:2" x14ac:dyDescent="0.25">
      <c r="A11" s="2" t="s">
        <v>36</v>
      </c>
      <c r="B11">
        <v>8346</v>
      </c>
    </row>
    <row r="12" spans="1:2" x14ac:dyDescent="0.25">
      <c r="A12" s="2" t="s">
        <v>13</v>
      </c>
      <c r="B12">
        <v>7949</v>
      </c>
    </row>
    <row r="13" spans="1:2" x14ac:dyDescent="0.25">
      <c r="A13" s="2" t="s">
        <v>30</v>
      </c>
      <c r="B13">
        <v>7717</v>
      </c>
    </row>
    <row r="14" spans="1:2" x14ac:dyDescent="0.25">
      <c r="A14" s="2" t="s">
        <v>32</v>
      </c>
      <c r="B14">
        <v>6945</v>
      </c>
    </row>
    <row r="15" spans="1:2" x14ac:dyDescent="0.25">
      <c r="A15" s="2" t="s">
        <v>9</v>
      </c>
      <c r="B15">
        <v>6676</v>
      </c>
    </row>
    <row r="16" spans="1:2" x14ac:dyDescent="0.25">
      <c r="A16" s="2" t="s">
        <v>18</v>
      </c>
      <c r="B16">
        <v>6142</v>
      </c>
    </row>
    <row r="17" spans="1:2" x14ac:dyDescent="0.25">
      <c r="A17" s="2" t="s">
        <v>17</v>
      </c>
      <c r="B17">
        <v>4759</v>
      </c>
    </row>
    <row r="18" spans="1:2" x14ac:dyDescent="0.25">
      <c r="A18" s="2" t="s">
        <v>29</v>
      </c>
      <c r="B18">
        <v>4689</v>
      </c>
    </row>
    <row r="19" spans="1:2" x14ac:dyDescent="0.25">
      <c r="A19" s="2" t="s">
        <v>27</v>
      </c>
      <c r="B19">
        <v>4114</v>
      </c>
    </row>
    <row r="20" spans="1:2" x14ac:dyDescent="0.25">
      <c r="A20" s="2" t="s">
        <v>25</v>
      </c>
      <c r="B20">
        <v>3880</v>
      </c>
    </row>
    <row r="21" spans="1:2" x14ac:dyDescent="0.25">
      <c r="A21" s="2" t="s">
        <v>34</v>
      </c>
      <c r="B21">
        <v>3351</v>
      </c>
    </row>
    <row r="22" spans="1:2" x14ac:dyDescent="0.25">
      <c r="A22" s="2" t="s">
        <v>5</v>
      </c>
      <c r="B22">
        <v>1551</v>
      </c>
    </row>
    <row r="23" spans="1:2" x14ac:dyDescent="0.25">
      <c r="A23" s="2" t="s">
        <v>11</v>
      </c>
      <c r="B23">
        <v>1090</v>
      </c>
    </row>
    <row r="24" spans="1:2" x14ac:dyDescent="0.25">
      <c r="A24" s="2" t="s">
        <v>28</v>
      </c>
      <c r="B24">
        <v>869</v>
      </c>
    </row>
    <row r="25" spans="1:2" x14ac:dyDescent="0.25">
      <c r="A25" s="2" t="s">
        <v>4</v>
      </c>
      <c r="B25">
        <v>831</v>
      </c>
    </row>
    <row r="26" spans="1:2" x14ac:dyDescent="0.25">
      <c r="A26" s="2" t="s">
        <v>31</v>
      </c>
      <c r="B26">
        <v>286</v>
      </c>
    </row>
    <row r="27" spans="1:2" x14ac:dyDescent="0.25">
      <c r="A27" s="2" t="s">
        <v>12</v>
      </c>
      <c r="B27">
        <v>226</v>
      </c>
    </row>
    <row r="28" spans="1:2" x14ac:dyDescent="0.25">
      <c r="A28" s="2" t="s">
        <v>1</v>
      </c>
      <c r="B28">
        <v>218</v>
      </c>
    </row>
    <row r="29" spans="1:2" x14ac:dyDescent="0.25">
      <c r="A29" s="2" t="s">
        <v>21</v>
      </c>
      <c r="B29">
        <v>197</v>
      </c>
    </row>
    <row r="30" spans="1:2" x14ac:dyDescent="0.25">
      <c r="A30" s="2" t="s">
        <v>35</v>
      </c>
      <c r="B30">
        <v>168</v>
      </c>
    </row>
    <row r="31" spans="1:2" x14ac:dyDescent="0.25">
      <c r="A31" s="2" t="s">
        <v>20</v>
      </c>
      <c r="B31">
        <v>110</v>
      </c>
    </row>
    <row r="32" spans="1:2" x14ac:dyDescent="0.25">
      <c r="A32" s="2" t="s">
        <v>6</v>
      </c>
      <c r="B32">
        <v>95</v>
      </c>
    </row>
    <row r="33" spans="1:2" x14ac:dyDescent="0.25">
      <c r="A33" s="2" t="s">
        <v>7</v>
      </c>
      <c r="B33">
        <v>75</v>
      </c>
    </row>
    <row r="34" spans="1:2" x14ac:dyDescent="0.25">
      <c r="A34" s="2" t="s">
        <v>22</v>
      </c>
      <c r="B34">
        <v>72</v>
      </c>
    </row>
    <row r="35" spans="1:2" x14ac:dyDescent="0.25">
      <c r="A35" s="2" t="s">
        <v>15</v>
      </c>
      <c r="B35">
        <v>67</v>
      </c>
    </row>
    <row r="36" spans="1:2" x14ac:dyDescent="0.25">
      <c r="A36" s="2" t="s">
        <v>19</v>
      </c>
      <c r="B36">
        <v>62</v>
      </c>
    </row>
    <row r="37" spans="1:2" x14ac:dyDescent="0.25">
      <c r="A37" s="2" t="s">
        <v>3</v>
      </c>
      <c r="B37">
        <v>61</v>
      </c>
    </row>
    <row r="38" spans="1:2" x14ac:dyDescent="0.25">
      <c r="A38" s="2" t="s">
        <v>8</v>
      </c>
      <c r="B38">
        <v>29</v>
      </c>
    </row>
    <row r="39" spans="1:2" x14ac:dyDescent="0.25">
      <c r="A39" s="2" t="s">
        <v>2</v>
      </c>
      <c r="B39">
        <v>0</v>
      </c>
    </row>
    <row r="40" spans="1:2" x14ac:dyDescent="0.25">
      <c r="A40" s="2" t="s">
        <v>74</v>
      </c>
      <c r="B40">
        <v>177175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64337-49D6-4AC3-A374-DE622B220FD8}">
  <dimension ref="A1:G38"/>
  <sheetViews>
    <sheetView tabSelected="1" topLeftCell="A2" workbookViewId="0">
      <selection activeCell="A7" sqref="A7"/>
    </sheetView>
  </sheetViews>
  <sheetFormatPr defaultRowHeight="15" x14ac:dyDescent="0.25"/>
  <cols>
    <col min="1" max="1" width="36.5703125" bestFit="1" customWidth="1"/>
    <col min="2" max="6" width="12.85546875" bestFit="1" customWidth="1"/>
    <col min="7" max="8" width="28.140625" bestFit="1" customWidth="1"/>
    <col min="9" max="13" width="14.85546875" bestFit="1" customWidth="1"/>
  </cols>
  <sheetData>
    <row r="1" spans="1:7" x14ac:dyDescent="0.25">
      <c r="A1" t="s">
        <v>44</v>
      </c>
      <c r="B1" t="s">
        <v>49</v>
      </c>
      <c r="C1" t="s">
        <v>48</v>
      </c>
      <c r="D1" t="s">
        <v>47</v>
      </c>
      <c r="E1" t="s">
        <v>46</v>
      </c>
      <c r="F1" t="s">
        <v>45</v>
      </c>
      <c r="G1" t="s">
        <v>37</v>
      </c>
    </row>
    <row r="2" spans="1:7" x14ac:dyDescent="0.25">
      <c r="A2" t="s">
        <v>36</v>
      </c>
      <c r="B2">
        <v>7039</v>
      </c>
      <c r="C2">
        <v>8186</v>
      </c>
      <c r="D2">
        <v>8293</v>
      </c>
      <c r="E2">
        <v>8137</v>
      </c>
      <c r="F2">
        <v>8346</v>
      </c>
      <c r="G2">
        <v>2.57</v>
      </c>
    </row>
    <row r="3" spans="1:7" x14ac:dyDescent="0.25">
      <c r="A3" t="s">
        <v>35</v>
      </c>
      <c r="B3">
        <v>73</v>
      </c>
      <c r="C3">
        <v>157</v>
      </c>
      <c r="D3">
        <v>148</v>
      </c>
      <c r="E3">
        <v>145</v>
      </c>
      <c r="F3">
        <v>168</v>
      </c>
      <c r="G3">
        <v>15.86</v>
      </c>
    </row>
    <row r="4" spans="1:7" x14ac:dyDescent="0.25">
      <c r="A4" t="s">
        <v>34</v>
      </c>
      <c r="B4">
        <v>2629</v>
      </c>
      <c r="C4">
        <v>3036</v>
      </c>
      <c r="D4">
        <v>2994</v>
      </c>
      <c r="E4">
        <v>3296</v>
      </c>
      <c r="F4">
        <v>3351</v>
      </c>
      <c r="G4">
        <v>1.67</v>
      </c>
    </row>
    <row r="5" spans="1:7" x14ac:dyDescent="0.25">
      <c r="A5" t="s">
        <v>33</v>
      </c>
      <c r="B5">
        <v>6699</v>
      </c>
      <c r="C5">
        <v>7660</v>
      </c>
      <c r="D5">
        <v>8898</v>
      </c>
      <c r="E5">
        <v>8873</v>
      </c>
      <c r="F5">
        <v>9347</v>
      </c>
      <c r="G5">
        <v>5.34</v>
      </c>
    </row>
    <row r="6" spans="1:7" x14ac:dyDescent="0.25">
      <c r="A6" t="s">
        <v>32</v>
      </c>
      <c r="B6">
        <v>4606</v>
      </c>
      <c r="C6">
        <v>5371</v>
      </c>
      <c r="D6">
        <v>5834</v>
      </c>
      <c r="E6">
        <v>6166</v>
      </c>
      <c r="F6">
        <v>6945</v>
      </c>
      <c r="G6">
        <v>12.63</v>
      </c>
    </row>
    <row r="7" spans="1:7" x14ac:dyDescent="0.25">
      <c r="A7" t="s">
        <v>31</v>
      </c>
      <c r="B7">
        <v>223</v>
      </c>
      <c r="C7">
        <v>226</v>
      </c>
      <c r="D7">
        <v>271</v>
      </c>
      <c r="E7">
        <v>290</v>
      </c>
      <c r="F7">
        <v>286</v>
      </c>
      <c r="G7">
        <v>-1.28</v>
      </c>
    </row>
    <row r="8" spans="1:7" x14ac:dyDescent="0.25">
      <c r="A8" t="s">
        <v>30</v>
      </c>
      <c r="B8">
        <v>6170</v>
      </c>
      <c r="C8">
        <v>7452</v>
      </c>
      <c r="D8">
        <v>7618</v>
      </c>
      <c r="E8">
        <v>7854</v>
      </c>
      <c r="F8">
        <v>7717</v>
      </c>
      <c r="G8">
        <v>-1.74</v>
      </c>
    </row>
    <row r="9" spans="1:7" x14ac:dyDescent="0.25">
      <c r="A9" t="s">
        <v>29</v>
      </c>
      <c r="B9">
        <v>4507</v>
      </c>
      <c r="C9">
        <v>4706</v>
      </c>
      <c r="D9">
        <v>4915</v>
      </c>
      <c r="E9">
        <v>4968</v>
      </c>
      <c r="F9">
        <v>4689</v>
      </c>
      <c r="G9">
        <v>-5.62</v>
      </c>
    </row>
    <row r="10" spans="1:7" x14ac:dyDescent="0.25">
      <c r="A10" t="s">
        <v>28</v>
      </c>
      <c r="B10">
        <v>893</v>
      </c>
      <c r="C10">
        <v>1052</v>
      </c>
      <c r="D10">
        <v>1032</v>
      </c>
      <c r="E10">
        <v>889</v>
      </c>
      <c r="F10">
        <v>869</v>
      </c>
      <c r="G10">
        <v>-2.25</v>
      </c>
    </row>
    <row r="11" spans="1:7" x14ac:dyDescent="0.25">
      <c r="A11" t="s">
        <v>27</v>
      </c>
      <c r="B11">
        <v>3044</v>
      </c>
      <c r="C11">
        <v>3513</v>
      </c>
      <c r="D11">
        <v>3898</v>
      </c>
      <c r="E11">
        <v>4173</v>
      </c>
      <c r="F11">
        <v>4114</v>
      </c>
      <c r="G11">
        <v>-1.41</v>
      </c>
    </row>
    <row r="12" spans="1:7" x14ac:dyDescent="0.25">
      <c r="A12" t="s">
        <v>26</v>
      </c>
      <c r="B12">
        <v>9760</v>
      </c>
      <c r="C12">
        <v>10038</v>
      </c>
      <c r="D12">
        <v>11702</v>
      </c>
      <c r="E12">
        <v>12321</v>
      </c>
      <c r="F12">
        <v>12390</v>
      </c>
      <c r="G12">
        <v>0.56000000000000005</v>
      </c>
    </row>
    <row r="13" spans="1:7" x14ac:dyDescent="0.25">
      <c r="A13" t="s">
        <v>25</v>
      </c>
      <c r="B13">
        <v>2979</v>
      </c>
      <c r="C13">
        <v>3429</v>
      </c>
      <c r="D13">
        <v>4317</v>
      </c>
      <c r="E13">
        <v>4080</v>
      </c>
      <c r="F13">
        <v>3880</v>
      </c>
      <c r="G13">
        <v>-4.9000000000000004</v>
      </c>
    </row>
    <row r="14" spans="1:7" x14ac:dyDescent="0.25">
      <c r="A14" t="s">
        <v>24</v>
      </c>
      <c r="B14">
        <v>11141</v>
      </c>
      <c r="C14">
        <v>12057</v>
      </c>
      <c r="D14">
        <v>13427</v>
      </c>
      <c r="E14">
        <v>13798</v>
      </c>
      <c r="F14">
        <v>14791</v>
      </c>
      <c r="G14">
        <v>7.2</v>
      </c>
    </row>
    <row r="15" spans="1:7" x14ac:dyDescent="0.25">
      <c r="A15" t="s">
        <v>23</v>
      </c>
      <c r="B15">
        <v>11569</v>
      </c>
      <c r="C15">
        <v>13528</v>
      </c>
      <c r="D15">
        <v>15224</v>
      </c>
      <c r="E15">
        <v>15366</v>
      </c>
      <c r="F15">
        <v>15715</v>
      </c>
      <c r="G15">
        <v>2.27</v>
      </c>
    </row>
    <row r="16" spans="1:7" x14ac:dyDescent="0.25">
      <c r="A16" t="s">
        <v>22</v>
      </c>
      <c r="B16">
        <v>127</v>
      </c>
      <c r="C16">
        <v>110</v>
      </c>
      <c r="D16">
        <v>127</v>
      </c>
      <c r="E16">
        <v>73</v>
      </c>
      <c r="F16">
        <v>72</v>
      </c>
      <c r="G16">
        <v>-1.37</v>
      </c>
    </row>
    <row r="17" spans="1:7" x14ac:dyDescent="0.25">
      <c r="A17" t="s">
        <v>21</v>
      </c>
      <c r="B17">
        <v>144</v>
      </c>
      <c r="C17">
        <v>187</v>
      </c>
      <c r="D17">
        <v>162</v>
      </c>
      <c r="E17">
        <v>168</v>
      </c>
      <c r="F17">
        <v>197</v>
      </c>
      <c r="G17">
        <v>17.260000000000002</v>
      </c>
    </row>
    <row r="18" spans="1:7" x14ac:dyDescent="0.25">
      <c r="A18" t="s">
        <v>20</v>
      </c>
      <c r="B18">
        <v>42</v>
      </c>
      <c r="C18">
        <v>56</v>
      </c>
      <c r="D18">
        <v>113</v>
      </c>
      <c r="E18">
        <v>96</v>
      </c>
      <c r="F18">
        <v>110</v>
      </c>
      <c r="G18">
        <v>14.58</v>
      </c>
    </row>
    <row r="19" spans="1:7" x14ac:dyDescent="0.25">
      <c r="A19" t="s">
        <v>19</v>
      </c>
      <c r="B19">
        <v>53</v>
      </c>
      <c r="C19">
        <v>55</v>
      </c>
      <c r="D19">
        <v>73</v>
      </c>
      <c r="E19">
        <v>86</v>
      </c>
      <c r="F19">
        <v>62</v>
      </c>
      <c r="G19">
        <v>-27.91</v>
      </c>
    </row>
    <row r="20" spans="1:7" x14ac:dyDescent="0.25">
      <c r="A20" t="s">
        <v>18</v>
      </c>
      <c r="B20">
        <v>4738</v>
      </c>
      <c r="C20">
        <v>5081</v>
      </c>
      <c r="D20">
        <v>5467</v>
      </c>
      <c r="E20">
        <v>5739</v>
      </c>
      <c r="F20">
        <v>6142</v>
      </c>
      <c r="G20">
        <v>7.02</v>
      </c>
    </row>
    <row r="21" spans="1:7" x14ac:dyDescent="0.25">
      <c r="A21" t="s">
        <v>17</v>
      </c>
      <c r="B21">
        <v>3898</v>
      </c>
      <c r="C21">
        <v>4589</v>
      </c>
      <c r="D21">
        <v>4756</v>
      </c>
      <c r="E21">
        <v>4829</v>
      </c>
      <c r="F21">
        <v>4759</v>
      </c>
      <c r="G21">
        <v>-1.45</v>
      </c>
    </row>
    <row r="22" spans="1:7" x14ac:dyDescent="0.25">
      <c r="A22" t="s">
        <v>16</v>
      </c>
      <c r="B22">
        <v>9250</v>
      </c>
      <c r="C22">
        <v>10043</v>
      </c>
      <c r="D22">
        <v>11104</v>
      </c>
      <c r="E22">
        <v>11762</v>
      </c>
      <c r="F22">
        <v>11790</v>
      </c>
      <c r="G22">
        <v>0.24</v>
      </c>
    </row>
    <row r="23" spans="1:7" x14ac:dyDescent="0.25">
      <c r="A23" t="s">
        <v>15</v>
      </c>
      <c r="B23">
        <v>47</v>
      </c>
      <c r="C23">
        <v>56</v>
      </c>
      <c r="D23">
        <v>92</v>
      </c>
      <c r="E23">
        <v>57</v>
      </c>
      <c r="F23">
        <v>67</v>
      </c>
      <c r="G23">
        <v>17.54</v>
      </c>
    </row>
    <row r="24" spans="1:7" x14ac:dyDescent="0.25">
      <c r="A24" t="s">
        <v>14</v>
      </c>
      <c r="B24">
        <v>14527</v>
      </c>
      <c r="C24">
        <v>15384</v>
      </c>
      <c r="D24">
        <v>17884</v>
      </c>
      <c r="E24">
        <v>18347</v>
      </c>
      <c r="F24">
        <v>18449</v>
      </c>
      <c r="G24">
        <v>0.56000000000000005</v>
      </c>
    </row>
    <row r="25" spans="1:7" x14ac:dyDescent="0.25">
      <c r="A25" t="s">
        <v>13</v>
      </c>
      <c r="B25">
        <v>6882</v>
      </c>
      <c r="C25">
        <v>7557</v>
      </c>
      <c r="D25">
        <v>7559</v>
      </c>
      <c r="E25">
        <v>7660</v>
      </c>
      <c r="F25">
        <v>7949</v>
      </c>
      <c r="G25">
        <v>3.77</v>
      </c>
    </row>
    <row r="26" spans="1:7" x14ac:dyDescent="0.25">
      <c r="A26" t="s">
        <v>12</v>
      </c>
      <c r="B26">
        <v>192</v>
      </c>
      <c r="C26">
        <v>194</v>
      </c>
      <c r="D26">
        <v>241</v>
      </c>
      <c r="E26">
        <v>261</v>
      </c>
      <c r="F26">
        <v>226</v>
      </c>
      <c r="G26">
        <v>-13.41</v>
      </c>
    </row>
    <row r="27" spans="1:7" x14ac:dyDescent="0.25">
      <c r="A27" t="s">
        <v>11</v>
      </c>
      <c r="B27">
        <v>674</v>
      </c>
      <c r="C27">
        <v>820</v>
      </c>
      <c r="D27">
        <v>1042</v>
      </c>
      <c r="E27">
        <v>1054</v>
      </c>
      <c r="F27">
        <v>1090</v>
      </c>
      <c r="G27">
        <v>3.42</v>
      </c>
    </row>
    <row r="28" spans="1:7" x14ac:dyDescent="0.25">
      <c r="A28" t="s">
        <v>10</v>
      </c>
      <c r="B28">
        <v>19149</v>
      </c>
      <c r="C28">
        <v>21227</v>
      </c>
      <c r="D28">
        <v>22595</v>
      </c>
      <c r="E28">
        <v>23652</v>
      </c>
      <c r="F28">
        <v>24118</v>
      </c>
      <c r="G28">
        <v>1.97</v>
      </c>
    </row>
    <row r="29" spans="1:7" x14ac:dyDescent="0.25">
      <c r="A29" t="s">
        <v>9</v>
      </c>
      <c r="B29">
        <v>5128</v>
      </c>
      <c r="C29">
        <v>5800</v>
      </c>
      <c r="D29">
        <v>6002</v>
      </c>
      <c r="E29">
        <v>6027</v>
      </c>
      <c r="F29">
        <v>6676</v>
      </c>
      <c r="G29">
        <v>10.77</v>
      </c>
    </row>
    <row r="30" spans="1:7" x14ac:dyDescent="0.25">
      <c r="A30" t="s">
        <v>8</v>
      </c>
      <c r="B30">
        <v>14</v>
      </c>
      <c r="C30">
        <v>20</v>
      </c>
      <c r="D30">
        <v>19</v>
      </c>
      <c r="E30">
        <v>24</v>
      </c>
      <c r="F30">
        <v>29</v>
      </c>
      <c r="G30">
        <v>20.83</v>
      </c>
    </row>
    <row r="31" spans="1:7" x14ac:dyDescent="0.25">
      <c r="A31" t="s">
        <v>7</v>
      </c>
      <c r="B31">
        <v>53</v>
      </c>
      <c r="C31">
        <v>96</v>
      </c>
      <c r="D31">
        <v>83</v>
      </c>
      <c r="E31">
        <v>67</v>
      </c>
      <c r="F31">
        <v>75</v>
      </c>
      <c r="G31">
        <v>11.94</v>
      </c>
    </row>
    <row r="32" spans="1:7" x14ac:dyDescent="0.25">
      <c r="A32" t="s">
        <v>6</v>
      </c>
      <c r="B32">
        <v>64</v>
      </c>
      <c r="C32">
        <v>76</v>
      </c>
      <c r="D32">
        <v>90</v>
      </c>
      <c r="E32">
        <v>74</v>
      </c>
      <c r="F32">
        <v>95</v>
      </c>
      <c r="G32">
        <v>28.38</v>
      </c>
    </row>
    <row r="33" spans="1:7" x14ac:dyDescent="0.25">
      <c r="A33" t="s">
        <v>5</v>
      </c>
      <c r="B33">
        <v>1196</v>
      </c>
      <c r="C33">
        <v>1239</v>
      </c>
      <c r="D33">
        <v>1461</v>
      </c>
      <c r="E33">
        <v>1457</v>
      </c>
      <c r="F33">
        <v>1551</v>
      </c>
      <c r="G33">
        <v>6.45</v>
      </c>
    </row>
    <row r="34" spans="1:7" x14ac:dyDescent="0.25">
      <c r="A34" t="s">
        <v>4</v>
      </c>
      <c r="B34">
        <v>728</v>
      </c>
      <c r="C34">
        <v>774</v>
      </c>
      <c r="D34">
        <v>805</v>
      </c>
      <c r="E34">
        <v>893</v>
      </c>
      <c r="F34">
        <v>831</v>
      </c>
      <c r="G34">
        <v>-6.94</v>
      </c>
    </row>
    <row r="35" spans="1:7" x14ac:dyDescent="0.25">
      <c r="A35" t="s">
        <v>3</v>
      </c>
      <c r="C35">
        <v>56</v>
      </c>
      <c r="D35">
        <v>62</v>
      </c>
      <c r="E35">
        <v>59</v>
      </c>
      <c r="F35">
        <v>61</v>
      </c>
      <c r="G35">
        <v>3.39</v>
      </c>
    </row>
    <row r="36" spans="1:7" x14ac:dyDescent="0.25">
      <c r="A36" t="s">
        <v>2</v>
      </c>
      <c r="B36">
        <v>0</v>
      </c>
      <c r="C36">
        <v>1</v>
      </c>
      <c r="D36">
        <v>2</v>
      </c>
      <c r="E36">
        <v>0</v>
      </c>
      <c r="F36">
        <v>0</v>
      </c>
      <c r="G36">
        <v>0</v>
      </c>
    </row>
    <row r="37" spans="1:7" x14ac:dyDescent="0.25">
      <c r="A37" t="s">
        <v>1</v>
      </c>
      <c r="B37">
        <v>145</v>
      </c>
      <c r="C37">
        <v>140</v>
      </c>
      <c r="D37">
        <v>181</v>
      </c>
      <c r="E37">
        <v>149</v>
      </c>
      <c r="F37">
        <v>218</v>
      </c>
      <c r="G37">
        <v>46.31</v>
      </c>
    </row>
    <row r="38" spans="1:7" x14ac:dyDescent="0.25">
      <c r="A38" t="s">
        <v>0</v>
      </c>
      <c r="B38">
        <v>138383</v>
      </c>
      <c r="C38">
        <v>153972</v>
      </c>
      <c r="D38">
        <v>168491</v>
      </c>
      <c r="E38">
        <v>172890</v>
      </c>
      <c r="F38">
        <v>177175</v>
      </c>
      <c r="G38">
        <v>2.48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1409C-7C21-4A1A-AC1C-38A27E8B679D}">
  <dimension ref="A3:B13"/>
  <sheetViews>
    <sheetView workbookViewId="0">
      <selection activeCell="B19" sqref="B19"/>
    </sheetView>
  </sheetViews>
  <sheetFormatPr defaultRowHeight="15" x14ac:dyDescent="0.25"/>
  <cols>
    <col min="1" max="1" width="19.28515625" bestFit="1" customWidth="1"/>
    <col min="2" max="2" width="21.140625" bestFit="1" customWidth="1"/>
  </cols>
  <sheetData>
    <row r="3" spans="1:2" x14ac:dyDescent="0.25">
      <c r="A3" s="1" t="s">
        <v>73</v>
      </c>
      <c r="B3" t="s">
        <v>79</v>
      </c>
    </row>
    <row r="4" spans="1:2" x14ac:dyDescent="0.25">
      <c r="A4" s="2" t="s">
        <v>56</v>
      </c>
      <c r="B4">
        <v>113907</v>
      </c>
    </row>
    <row r="5" spans="1:2" x14ac:dyDescent="0.25">
      <c r="A5" s="2" t="s">
        <v>51</v>
      </c>
      <c r="B5">
        <v>84429</v>
      </c>
    </row>
    <row r="6" spans="1:2" x14ac:dyDescent="0.25">
      <c r="A6" s="2" t="s">
        <v>50</v>
      </c>
      <c r="B6">
        <v>79853</v>
      </c>
    </row>
    <row r="7" spans="1:2" x14ac:dyDescent="0.25">
      <c r="A7" s="2" t="s">
        <v>55</v>
      </c>
      <c r="B7">
        <v>77112</v>
      </c>
    </row>
    <row r="8" spans="1:2" x14ac:dyDescent="0.25">
      <c r="A8" s="2" t="s">
        <v>58</v>
      </c>
      <c r="B8">
        <v>68584</v>
      </c>
    </row>
    <row r="9" spans="1:2" x14ac:dyDescent="0.25">
      <c r="A9" s="2" t="s">
        <v>54</v>
      </c>
      <c r="B9">
        <v>19082</v>
      </c>
    </row>
    <row r="10" spans="1:2" x14ac:dyDescent="0.25">
      <c r="A10" s="2" t="s">
        <v>52</v>
      </c>
      <c r="B10">
        <v>17296</v>
      </c>
    </row>
    <row r="11" spans="1:2" x14ac:dyDescent="0.25">
      <c r="A11" s="2" t="s">
        <v>53</v>
      </c>
      <c r="B11">
        <v>16246</v>
      </c>
    </row>
    <row r="12" spans="1:2" x14ac:dyDescent="0.25">
      <c r="A12" s="2" t="s">
        <v>57</v>
      </c>
      <c r="B12">
        <v>11198</v>
      </c>
    </row>
    <row r="13" spans="1:2" x14ac:dyDescent="0.25">
      <c r="A13" s="2" t="s">
        <v>74</v>
      </c>
      <c r="B13">
        <v>487707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D9074-AC00-4554-8059-13AC2AA8E9AA}">
  <dimension ref="A1:J10"/>
  <sheetViews>
    <sheetView workbookViewId="0">
      <selection activeCell="F9" sqref="F9"/>
    </sheetView>
  </sheetViews>
  <sheetFormatPr defaultRowHeight="15" x14ac:dyDescent="0.25"/>
  <cols>
    <col min="1" max="1" width="18.7109375" bestFit="1" customWidth="1"/>
    <col min="2" max="2" width="17" bestFit="1" customWidth="1"/>
    <col min="3" max="3" width="13.140625" bestFit="1" customWidth="1"/>
    <col min="4" max="4" width="14.42578125" bestFit="1" customWidth="1"/>
    <col min="5" max="5" width="17" bestFit="1" customWidth="1"/>
    <col min="6" max="6" width="13.140625" bestFit="1" customWidth="1"/>
    <col min="7" max="7" width="14.42578125" bestFit="1" customWidth="1"/>
    <col min="8" max="8" width="21.5703125" bestFit="1" customWidth="1"/>
    <col min="9" max="9" width="17.5703125" bestFit="1" customWidth="1"/>
    <col min="10" max="10" width="19" bestFit="1" customWidth="1"/>
  </cols>
  <sheetData>
    <row r="1" spans="1:10" x14ac:dyDescent="0.25">
      <c r="A1" t="s">
        <v>68</v>
      </c>
      <c r="B1" t="s">
        <v>67</v>
      </c>
      <c r="C1" t="s">
        <v>66</v>
      </c>
      <c r="D1" t="s">
        <v>65</v>
      </c>
      <c r="E1" t="s">
        <v>64</v>
      </c>
      <c r="F1" t="s">
        <v>63</v>
      </c>
      <c r="G1" t="s">
        <v>62</v>
      </c>
      <c r="H1" t="s">
        <v>61</v>
      </c>
      <c r="I1" t="s">
        <v>60</v>
      </c>
      <c r="J1" t="s">
        <v>59</v>
      </c>
    </row>
    <row r="2" spans="1:10" x14ac:dyDescent="0.25">
      <c r="A2" t="s">
        <v>58</v>
      </c>
      <c r="B2">
        <v>68783</v>
      </c>
      <c r="C2">
        <v>31209</v>
      </c>
      <c r="D2">
        <v>54574</v>
      </c>
      <c r="E2">
        <v>68584</v>
      </c>
      <c r="F2">
        <v>34030</v>
      </c>
      <c r="G2">
        <v>51517</v>
      </c>
      <c r="H2">
        <v>-0.3</v>
      </c>
      <c r="I2">
        <v>9</v>
      </c>
      <c r="J2">
        <v>-5.6</v>
      </c>
    </row>
    <row r="3" spans="1:10" x14ac:dyDescent="0.25">
      <c r="A3" t="s">
        <v>57</v>
      </c>
      <c r="B3">
        <v>13810</v>
      </c>
      <c r="C3">
        <v>5636</v>
      </c>
      <c r="D3">
        <v>12575</v>
      </c>
      <c r="E3">
        <v>11198</v>
      </c>
      <c r="F3">
        <v>4486</v>
      </c>
      <c r="G3">
        <v>10608</v>
      </c>
      <c r="H3">
        <v>-18.899999999999999</v>
      </c>
      <c r="I3">
        <v>-20.399999999999999</v>
      </c>
      <c r="J3">
        <v>-15.6</v>
      </c>
    </row>
    <row r="4" spans="1:10" x14ac:dyDescent="0.25">
      <c r="A4" t="s">
        <v>56</v>
      </c>
      <c r="B4">
        <v>110656</v>
      </c>
      <c r="C4">
        <v>36804</v>
      </c>
      <c r="D4">
        <v>107161</v>
      </c>
      <c r="E4">
        <v>113907</v>
      </c>
      <c r="F4">
        <v>37404</v>
      </c>
      <c r="G4">
        <v>110160</v>
      </c>
      <c r="H4">
        <v>2.9</v>
      </c>
      <c r="I4">
        <v>1.6</v>
      </c>
      <c r="J4">
        <v>2.8</v>
      </c>
    </row>
    <row r="5" spans="1:10" x14ac:dyDescent="0.25">
      <c r="A5" t="s">
        <v>55</v>
      </c>
      <c r="B5">
        <v>73805</v>
      </c>
      <c r="C5">
        <v>20623</v>
      </c>
      <c r="D5">
        <v>74017</v>
      </c>
      <c r="E5">
        <v>77112</v>
      </c>
      <c r="F5">
        <v>21716</v>
      </c>
      <c r="G5">
        <v>78302</v>
      </c>
      <c r="H5">
        <v>4.5</v>
      </c>
      <c r="I5">
        <v>5.3</v>
      </c>
      <c r="J5">
        <v>5.8</v>
      </c>
    </row>
    <row r="6" spans="1:10" x14ac:dyDescent="0.25">
      <c r="A6" t="s">
        <v>54</v>
      </c>
      <c r="B6">
        <v>21527</v>
      </c>
      <c r="C6">
        <v>10196</v>
      </c>
      <c r="D6">
        <v>20719</v>
      </c>
      <c r="E6">
        <v>19082</v>
      </c>
      <c r="F6">
        <v>8917</v>
      </c>
      <c r="G6">
        <v>19560</v>
      </c>
      <c r="H6">
        <v>-11.4</v>
      </c>
      <c r="I6">
        <v>-12.5</v>
      </c>
      <c r="J6">
        <v>-5.6</v>
      </c>
    </row>
    <row r="7" spans="1:10" x14ac:dyDescent="0.25">
      <c r="A7" t="s">
        <v>53</v>
      </c>
      <c r="B7">
        <v>17451</v>
      </c>
      <c r="C7">
        <v>8291</v>
      </c>
      <c r="D7">
        <v>16416</v>
      </c>
      <c r="E7">
        <v>16246</v>
      </c>
      <c r="F7">
        <v>7521</v>
      </c>
      <c r="G7">
        <v>14948</v>
      </c>
      <c r="H7">
        <v>-6.9</v>
      </c>
      <c r="I7">
        <v>-9.3000000000000007</v>
      </c>
      <c r="J7">
        <v>-8.9</v>
      </c>
    </row>
    <row r="8" spans="1:10" x14ac:dyDescent="0.25">
      <c r="A8" t="s">
        <v>52</v>
      </c>
      <c r="B8">
        <v>18905</v>
      </c>
      <c r="C8">
        <v>9124</v>
      </c>
      <c r="D8">
        <v>21216</v>
      </c>
      <c r="E8">
        <v>17296</v>
      </c>
      <c r="F8">
        <v>8419</v>
      </c>
      <c r="G8">
        <v>19401</v>
      </c>
      <c r="H8">
        <v>-8.5</v>
      </c>
      <c r="I8">
        <v>-7.7</v>
      </c>
      <c r="J8">
        <v>-8.6</v>
      </c>
    </row>
    <row r="9" spans="1:10" x14ac:dyDescent="0.25">
      <c r="A9" t="s">
        <v>51</v>
      </c>
      <c r="B9">
        <v>84348</v>
      </c>
      <c r="C9">
        <v>28898</v>
      </c>
      <c r="D9">
        <v>89867</v>
      </c>
      <c r="E9">
        <v>84429</v>
      </c>
      <c r="F9">
        <v>28400</v>
      </c>
      <c r="G9">
        <v>91863</v>
      </c>
      <c r="H9">
        <v>0.1</v>
      </c>
      <c r="I9">
        <v>-1.7</v>
      </c>
      <c r="J9">
        <v>2.2000000000000002</v>
      </c>
    </row>
    <row r="10" spans="1:10" x14ac:dyDescent="0.25">
      <c r="A10" t="s">
        <v>50</v>
      </c>
      <c r="B10">
        <v>71298</v>
      </c>
      <c r="C10">
        <v>22109</v>
      </c>
      <c r="D10">
        <v>66280</v>
      </c>
      <c r="E10">
        <v>79853</v>
      </c>
      <c r="F10">
        <v>26282</v>
      </c>
      <c r="G10">
        <v>75082</v>
      </c>
      <c r="H10">
        <v>12</v>
      </c>
      <c r="I10">
        <v>18.899999999999999</v>
      </c>
      <c r="J10">
        <v>13.3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19C687-6CCA-447D-82D3-4268BA8C7494}">
  <dimension ref="B1:O74"/>
  <sheetViews>
    <sheetView zoomScaleNormal="100" workbookViewId="0">
      <selection activeCell="K74" sqref="K74"/>
    </sheetView>
  </sheetViews>
  <sheetFormatPr defaultRowHeight="15" x14ac:dyDescent="0.25"/>
  <cols>
    <col min="2" max="2" width="5" bestFit="1" customWidth="1"/>
    <col min="3" max="3" width="19.28515625" bestFit="1" customWidth="1"/>
    <col min="4" max="4" width="16.28515625" customWidth="1"/>
    <col min="6" max="6" width="22" customWidth="1"/>
    <col min="7" max="7" width="10" bestFit="1" customWidth="1"/>
    <col min="9" max="9" width="18.42578125" customWidth="1"/>
    <col min="10" max="10" width="10" bestFit="1" customWidth="1"/>
    <col min="12" max="12" width="9.140625" customWidth="1"/>
    <col min="13" max="13" width="9" bestFit="1" customWidth="1"/>
    <col min="14" max="14" width="42.140625" bestFit="1" customWidth="1"/>
    <col min="15" max="15" width="86" bestFit="1" customWidth="1"/>
  </cols>
  <sheetData>
    <row r="1" spans="2:15" ht="15.75" thickBot="1" x14ac:dyDescent="0.3"/>
    <row r="2" spans="2:15" ht="15.75" thickBot="1" x14ac:dyDescent="0.3">
      <c r="B2" s="57" t="s">
        <v>69</v>
      </c>
      <c r="C2" s="59"/>
      <c r="D2" s="58"/>
    </row>
    <row r="3" spans="2:15" ht="15.75" thickBot="1" x14ac:dyDescent="0.3">
      <c r="B3" s="20" t="s">
        <v>70</v>
      </c>
      <c r="C3" s="21" t="s">
        <v>71</v>
      </c>
      <c r="D3" s="22" t="s">
        <v>72</v>
      </c>
      <c r="N3" s="56" t="s">
        <v>81</v>
      </c>
      <c r="O3" s="56"/>
    </row>
    <row r="4" spans="2:15" x14ac:dyDescent="0.25">
      <c r="B4" s="19">
        <v>2020</v>
      </c>
      <c r="C4" s="47">
        <f>SUM(Cleaned_Accidents!B2:B37)</f>
        <v>744361</v>
      </c>
      <c r="D4" s="8">
        <f>SUM(Cleaned_Fatalities!B2:B37)</f>
        <v>138383</v>
      </c>
      <c r="N4" s="13" t="s">
        <v>82</v>
      </c>
      <c r="O4" s="13" t="s">
        <v>83</v>
      </c>
    </row>
    <row r="5" spans="2:15" x14ac:dyDescent="0.25">
      <c r="B5" s="17">
        <v>2021</v>
      </c>
      <c r="C5" s="48">
        <f>SUM(Cleaned_Accidents!C2:C37)</f>
        <v>824860</v>
      </c>
      <c r="D5" s="10">
        <f>SUM(Cleaned_Fatalities!C2:C37)</f>
        <v>153972</v>
      </c>
      <c r="N5" s="14" t="s">
        <v>84</v>
      </c>
      <c r="O5" s="15">
        <f>(C8-C4)/C4</f>
        <v>0.31040449459334918</v>
      </c>
    </row>
    <row r="6" spans="2:15" x14ac:dyDescent="0.25">
      <c r="B6" s="17">
        <v>2022</v>
      </c>
      <c r="C6" s="48">
        <f>SUM(Cleaned_Accidents!D2:D37)</f>
        <v>922621</v>
      </c>
      <c r="D6" s="10">
        <f>SUM(Cleaned_Fatalities!D2:D37)</f>
        <v>168491</v>
      </c>
      <c r="N6" s="14" t="s">
        <v>87</v>
      </c>
      <c r="O6" s="4" t="s">
        <v>85</v>
      </c>
    </row>
    <row r="7" spans="2:15" x14ac:dyDescent="0.25">
      <c r="B7" s="17">
        <v>2023</v>
      </c>
      <c r="C7" s="48">
        <f>SUM(Cleaned_Accidents!E2:E37)</f>
        <v>961165</v>
      </c>
      <c r="D7" s="10">
        <f>SUM(Cleaned_Fatalities!E2:E37)</f>
        <v>172890</v>
      </c>
      <c r="N7" s="14" t="s">
        <v>86</v>
      </c>
      <c r="O7" s="15">
        <f>(D8-D4)/D4</f>
        <v>0.28032345013477089</v>
      </c>
    </row>
    <row r="8" spans="2:15" ht="15.75" thickBot="1" x14ac:dyDescent="0.3">
      <c r="B8" s="18">
        <v>2024</v>
      </c>
      <c r="C8" s="49">
        <f>SUM(Cleaned_Accidents!F2:F37)</f>
        <v>975414</v>
      </c>
      <c r="D8" s="12">
        <f>SUM(Cleaned_Fatalities!F2:F37)</f>
        <v>177175</v>
      </c>
      <c r="N8" s="14" t="s">
        <v>87</v>
      </c>
      <c r="O8" s="4" t="s">
        <v>98</v>
      </c>
    </row>
    <row r="9" spans="2:15" x14ac:dyDescent="0.25">
      <c r="N9" s="14" t="s">
        <v>88</v>
      </c>
      <c r="O9" s="15">
        <f>O5-O7</f>
        <v>3.0081044458578288E-2</v>
      </c>
    </row>
    <row r="10" spans="2:15" x14ac:dyDescent="0.25">
      <c r="N10" s="14" t="s">
        <v>87</v>
      </c>
      <c r="O10" s="4" t="s">
        <v>89</v>
      </c>
    </row>
    <row r="11" spans="2:15" x14ac:dyDescent="0.25">
      <c r="N11" s="14" t="s">
        <v>90</v>
      </c>
      <c r="O11" s="15">
        <f>SUM(Pivot_Accidents!B4:B13)/C8</f>
        <v>0.39391478900241333</v>
      </c>
    </row>
    <row r="12" spans="2:15" x14ac:dyDescent="0.25">
      <c r="N12" s="14" t="s">
        <v>87</v>
      </c>
      <c r="O12" s="4" t="s">
        <v>91</v>
      </c>
    </row>
    <row r="13" spans="2:15" x14ac:dyDescent="0.25">
      <c r="N13" s="14" t="s">
        <v>92</v>
      </c>
      <c r="O13" s="15">
        <f>SUM(Pivot_Fatalities!B4:B13)/D8</f>
        <v>0.7371920417666149</v>
      </c>
    </row>
    <row r="14" spans="2:15" x14ac:dyDescent="0.25">
      <c r="N14" s="14" t="s">
        <v>87</v>
      </c>
      <c r="O14" s="4" t="s">
        <v>93</v>
      </c>
    </row>
    <row r="15" spans="2:15" x14ac:dyDescent="0.25">
      <c r="N15" s="14" t="s">
        <v>94</v>
      </c>
      <c r="O15" s="15">
        <f>SUM(Pivot_Collisions!B4:B6)/C8</f>
        <v>0.28520095057073203</v>
      </c>
    </row>
    <row r="16" spans="2:15" x14ac:dyDescent="0.25">
      <c r="N16" s="14" t="s">
        <v>87</v>
      </c>
      <c r="O16" s="4" t="s">
        <v>95</v>
      </c>
    </row>
    <row r="17" spans="3:15" ht="15.75" thickBot="1" x14ac:dyDescent="0.3">
      <c r="N17" s="14" t="s">
        <v>96</v>
      </c>
      <c r="O17" s="16">
        <f>D8/C8*100</f>
        <v>18.164082123077996</v>
      </c>
    </row>
    <row r="18" spans="3:15" ht="15.75" thickBot="1" x14ac:dyDescent="0.3">
      <c r="C18" s="57" t="s">
        <v>76</v>
      </c>
      <c r="D18" s="58"/>
      <c r="N18" s="14" t="s">
        <v>87</v>
      </c>
      <c r="O18" s="4" t="s">
        <v>97</v>
      </c>
    </row>
    <row r="19" spans="3:15" x14ac:dyDescent="0.25">
      <c r="C19" s="7" t="s">
        <v>14</v>
      </c>
      <c r="D19" s="8">
        <v>67526</v>
      </c>
    </row>
    <row r="20" spans="3:15" x14ac:dyDescent="0.25">
      <c r="C20" s="9" t="s">
        <v>24</v>
      </c>
      <c r="D20" s="10">
        <v>56669</v>
      </c>
    </row>
    <row r="21" spans="3:15" x14ac:dyDescent="0.25">
      <c r="C21" s="9" t="s">
        <v>25</v>
      </c>
      <c r="D21" s="10">
        <v>48834</v>
      </c>
    </row>
    <row r="22" spans="3:15" x14ac:dyDescent="0.25">
      <c r="C22" s="9" t="s">
        <v>10</v>
      </c>
      <c r="D22" s="10">
        <v>46052</v>
      </c>
    </row>
    <row r="23" spans="3:15" x14ac:dyDescent="0.25">
      <c r="C23" s="9" t="s">
        <v>26</v>
      </c>
      <c r="D23" s="10">
        <v>43062</v>
      </c>
    </row>
    <row r="24" spans="3:15" x14ac:dyDescent="0.25">
      <c r="C24" s="9" t="s">
        <v>23</v>
      </c>
      <c r="D24" s="10">
        <v>36118</v>
      </c>
    </row>
    <row r="25" spans="3:15" x14ac:dyDescent="0.25">
      <c r="C25" s="9" t="s">
        <v>13</v>
      </c>
      <c r="D25" s="10">
        <v>25986</v>
      </c>
    </row>
    <row r="26" spans="3:15" x14ac:dyDescent="0.25">
      <c r="C26" s="9" t="s">
        <v>16</v>
      </c>
      <c r="D26" s="10">
        <v>24838</v>
      </c>
    </row>
    <row r="27" spans="3:15" x14ac:dyDescent="0.25">
      <c r="C27" s="9" t="s">
        <v>36</v>
      </c>
      <c r="D27" s="10">
        <v>19557</v>
      </c>
    </row>
    <row r="28" spans="3:15" ht="15.75" thickBot="1" x14ac:dyDescent="0.3">
      <c r="C28" s="11" t="s">
        <v>30</v>
      </c>
      <c r="D28" s="12">
        <v>15588</v>
      </c>
    </row>
    <row r="34" spans="3:5" ht="15.75" thickBot="1" x14ac:dyDescent="0.3"/>
    <row r="35" spans="3:5" ht="15.75" thickBot="1" x14ac:dyDescent="0.3">
      <c r="C35" s="57" t="s">
        <v>78</v>
      </c>
      <c r="D35" s="58"/>
    </row>
    <row r="36" spans="3:5" x14ac:dyDescent="0.25">
      <c r="C36" s="7" t="s">
        <v>10</v>
      </c>
      <c r="D36" s="8">
        <v>24118</v>
      </c>
    </row>
    <row r="37" spans="3:5" x14ac:dyDescent="0.25">
      <c r="C37" s="9" t="s">
        <v>14</v>
      </c>
      <c r="D37" s="10">
        <v>18449</v>
      </c>
    </row>
    <row r="38" spans="3:5" x14ac:dyDescent="0.25">
      <c r="C38" s="9" t="s">
        <v>23</v>
      </c>
      <c r="D38" s="10">
        <v>15715</v>
      </c>
    </row>
    <row r="39" spans="3:5" x14ac:dyDescent="0.25">
      <c r="C39" s="9" t="s">
        <v>24</v>
      </c>
      <c r="D39" s="10">
        <v>14791</v>
      </c>
    </row>
    <row r="40" spans="3:5" x14ac:dyDescent="0.25">
      <c r="C40" s="9" t="s">
        <v>26</v>
      </c>
      <c r="D40" s="10">
        <v>12390</v>
      </c>
    </row>
    <row r="41" spans="3:5" x14ac:dyDescent="0.25">
      <c r="C41" s="9" t="s">
        <v>16</v>
      </c>
      <c r="D41" s="10">
        <v>11790</v>
      </c>
    </row>
    <row r="42" spans="3:5" x14ac:dyDescent="0.25">
      <c r="C42" s="9" t="s">
        <v>33</v>
      </c>
      <c r="D42" s="10">
        <v>9347</v>
      </c>
      <c r="E42" s="3"/>
    </row>
    <row r="43" spans="3:5" x14ac:dyDescent="0.25">
      <c r="C43" s="9" t="s">
        <v>36</v>
      </c>
      <c r="D43" s="10">
        <v>8346</v>
      </c>
    </row>
    <row r="44" spans="3:5" x14ac:dyDescent="0.25">
      <c r="C44" s="9" t="s">
        <v>13</v>
      </c>
      <c r="D44" s="10">
        <v>7949</v>
      </c>
    </row>
    <row r="45" spans="3:5" ht="15.75" thickBot="1" x14ac:dyDescent="0.3">
      <c r="C45" s="11" t="s">
        <v>30</v>
      </c>
      <c r="D45" s="12">
        <v>7717</v>
      </c>
    </row>
    <row r="51" spans="3:4" ht="15.75" thickBot="1" x14ac:dyDescent="0.3"/>
    <row r="52" spans="3:4" ht="15.75" thickBot="1" x14ac:dyDescent="0.3">
      <c r="C52" s="57" t="s">
        <v>80</v>
      </c>
      <c r="D52" s="58"/>
    </row>
    <row r="53" spans="3:4" x14ac:dyDescent="0.25">
      <c r="C53" s="7" t="s">
        <v>56</v>
      </c>
      <c r="D53" s="8">
        <v>113907</v>
      </c>
    </row>
    <row r="54" spans="3:4" x14ac:dyDescent="0.25">
      <c r="C54" s="9" t="s">
        <v>51</v>
      </c>
      <c r="D54" s="10">
        <v>84429</v>
      </c>
    </row>
    <row r="55" spans="3:4" x14ac:dyDescent="0.25">
      <c r="C55" s="9" t="s">
        <v>50</v>
      </c>
      <c r="D55" s="10">
        <v>79853</v>
      </c>
    </row>
    <row r="56" spans="3:4" x14ac:dyDescent="0.25">
      <c r="C56" s="9" t="s">
        <v>55</v>
      </c>
      <c r="D56" s="10">
        <v>77112</v>
      </c>
    </row>
    <row r="57" spans="3:4" x14ac:dyDescent="0.25">
      <c r="C57" s="9" t="s">
        <v>58</v>
      </c>
      <c r="D57" s="10">
        <v>68584</v>
      </c>
    </row>
    <row r="58" spans="3:4" x14ac:dyDescent="0.25">
      <c r="C58" s="9" t="s">
        <v>54</v>
      </c>
      <c r="D58" s="10">
        <v>19082</v>
      </c>
    </row>
    <row r="59" spans="3:4" x14ac:dyDescent="0.25">
      <c r="C59" s="9" t="s">
        <v>52</v>
      </c>
      <c r="D59" s="10">
        <v>17296</v>
      </c>
    </row>
    <row r="60" spans="3:4" x14ac:dyDescent="0.25">
      <c r="C60" s="9" t="s">
        <v>53</v>
      </c>
      <c r="D60" s="10">
        <v>16246</v>
      </c>
    </row>
    <row r="61" spans="3:4" ht="15.75" thickBot="1" x14ac:dyDescent="0.3">
      <c r="C61" s="11" t="s">
        <v>57</v>
      </c>
      <c r="D61" s="12">
        <v>11198</v>
      </c>
    </row>
    <row r="69" spans="3:4" x14ac:dyDescent="0.25">
      <c r="C69" s="50" t="s">
        <v>44</v>
      </c>
      <c r="D69" s="53" t="s">
        <v>39</v>
      </c>
    </row>
    <row r="70" spans="3:4" x14ac:dyDescent="0.25">
      <c r="C70" s="51" t="s">
        <v>14</v>
      </c>
      <c r="D70" s="54">
        <v>67526</v>
      </c>
    </row>
    <row r="71" spans="3:4" x14ac:dyDescent="0.25">
      <c r="C71" s="52" t="s">
        <v>24</v>
      </c>
      <c r="D71" s="55">
        <v>56669</v>
      </c>
    </row>
    <row r="72" spans="3:4" x14ac:dyDescent="0.25">
      <c r="C72" s="51" t="s">
        <v>25</v>
      </c>
      <c r="D72" s="54">
        <v>48834</v>
      </c>
    </row>
    <row r="73" spans="3:4" x14ac:dyDescent="0.25">
      <c r="C73" s="52" t="s">
        <v>10</v>
      </c>
      <c r="D73" s="55">
        <v>46052</v>
      </c>
    </row>
    <row r="74" spans="3:4" x14ac:dyDescent="0.25">
      <c r="C74" s="51" t="s">
        <v>26</v>
      </c>
      <c r="D74" s="54">
        <v>43062</v>
      </c>
    </row>
  </sheetData>
  <mergeCells count="5">
    <mergeCell ref="N3:O3"/>
    <mergeCell ref="C18:D18"/>
    <mergeCell ref="C35:D35"/>
    <mergeCell ref="C52:D52"/>
    <mergeCell ref="B2:D2"/>
  </mergeCells>
  <phoneticPr fontId="3" type="noConversion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2875A-365E-4E5E-BC22-3D8B05A82FC4}">
  <dimension ref="A1:R12"/>
  <sheetViews>
    <sheetView zoomScaleNormal="100" workbookViewId="0">
      <selection activeCell="F6" sqref="F6"/>
    </sheetView>
  </sheetViews>
  <sheetFormatPr defaultRowHeight="15" x14ac:dyDescent="0.25"/>
  <cols>
    <col min="2" max="2" width="5" style="27" customWidth="1"/>
    <col min="3" max="3" width="14.5703125" style="27" bestFit="1" customWidth="1"/>
    <col min="10" max="10" width="15.7109375" bestFit="1" customWidth="1"/>
    <col min="11" max="11" width="16.28515625" style="23" bestFit="1" customWidth="1"/>
    <col min="16" max="16" width="5" bestFit="1" customWidth="1"/>
    <col min="17" max="17" width="5" customWidth="1"/>
    <col min="18" max="18" width="14.140625" bestFit="1" customWidth="1"/>
  </cols>
  <sheetData>
    <row r="1" spans="1:18" ht="15.75" thickBot="1" x14ac:dyDescent="0.3"/>
    <row r="2" spans="1:18" ht="15.75" thickBot="1" x14ac:dyDescent="0.3">
      <c r="A2" s="33">
        <v>1</v>
      </c>
      <c r="B2" s="34" t="s">
        <v>70</v>
      </c>
      <c r="C2" s="22" t="s">
        <v>99</v>
      </c>
      <c r="I2" s="33">
        <v>2</v>
      </c>
      <c r="J2" s="41" t="s">
        <v>44</v>
      </c>
      <c r="K2" s="42" t="s">
        <v>100</v>
      </c>
      <c r="P2" s="33">
        <v>3</v>
      </c>
      <c r="Q2" s="5" t="s">
        <v>70</v>
      </c>
      <c r="R2" s="6" t="s">
        <v>101</v>
      </c>
    </row>
    <row r="3" spans="1:18" x14ac:dyDescent="0.25">
      <c r="B3" s="30">
        <v>2020</v>
      </c>
      <c r="C3" s="24">
        <v>372181</v>
      </c>
      <c r="J3" s="39" t="s">
        <v>14</v>
      </c>
      <c r="K3" s="40">
        <v>67526</v>
      </c>
      <c r="Q3" s="46">
        <v>2020</v>
      </c>
      <c r="R3" s="43">
        <v>138383</v>
      </c>
    </row>
    <row r="4" spans="1:18" x14ac:dyDescent="0.25">
      <c r="B4" s="31">
        <v>2021</v>
      </c>
      <c r="C4" s="25">
        <v>412432</v>
      </c>
      <c r="J4" s="35" t="s">
        <v>24</v>
      </c>
      <c r="K4" s="37">
        <v>56669</v>
      </c>
      <c r="Q4" s="28">
        <v>2021</v>
      </c>
      <c r="R4" s="44">
        <v>153972</v>
      </c>
    </row>
    <row r="5" spans="1:18" x14ac:dyDescent="0.25">
      <c r="B5" s="31">
        <v>2022</v>
      </c>
      <c r="C5" s="25">
        <v>461312</v>
      </c>
      <c r="J5" s="35" t="s">
        <v>25</v>
      </c>
      <c r="K5" s="37">
        <v>48834</v>
      </c>
      <c r="Q5" s="28">
        <v>2022</v>
      </c>
      <c r="R5" s="44">
        <v>168491</v>
      </c>
    </row>
    <row r="6" spans="1:18" x14ac:dyDescent="0.25">
      <c r="B6" s="31">
        <v>2023</v>
      </c>
      <c r="C6" s="25">
        <v>480583</v>
      </c>
      <c r="J6" s="35" t="s">
        <v>10</v>
      </c>
      <c r="K6" s="37">
        <v>46052</v>
      </c>
      <c r="Q6" s="28">
        <v>2023</v>
      </c>
      <c r="R6" s="44">
        <v>172890</v>
      </c>
    </row>
    <row r="7" spans="1:18" ht="15.75" thickBot="1" x14ac:dyDescent="0.3">
      <c r="B7" s="32">
        <v>2024</v>
      </c>
      <c r="C7" s="26">
        <v>487707</v>
      </c>
      <c r="J7" s="35" t="s">
        <v>26</v>
      </c>
      <c r="K7" s="37">
        <v>43062</v>
      </c>
      <c r="Q7" s="29">
        <v>2024</v>
      </c>
      <c r="R7" s="45">
        <v>177175</v>
      </c>
    </row>
    <row r="8" spans="1:18" x14ac:dyDescent="0.25">
      <c r="J8" s="35" t="s">
        <v>23</v>
      </c>
      <c r="K8" s="37">
        <v>36118</v>
      </c>
    </row>
    <row r="9" spans="1:18" x14ac:dyDescent="0.25">
      <c r="J9" s="35" t="s">
        <v>13</v>
      </c>
      <c r="K9" s="37">
        <v>25986</v>
      </c>
    </row>
    <row r="10" spans="1:18" x14ac:dyDescent="0.25">
      <c r="J10" s="35" t="s">
        <v>16</v>
      </c>
      <c r="K10" s="37">
        <v>24838</v>
      </c>
    </row>
    <row r="11" spans="1:18" x14ac:dyDescent="0.25">
      <c r="J11" s="35" t="s">
        <v>36</v>
      </c>
      <c r="K11" s="37">
        <v>19557</v>
      </c>
    </row>
    <row r="12" spans="1:18" ht="15.75" thickBot="1" x14ac:dyDescent="0.3">
      <c r="J12" s="36" t="s">
        <v>30</v>
      </c>
      <c r="K12" s="38">
        <v>15588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4DED1-5391-4DB9-9668-41186DD104A5}">
  <dimension ref="A1"/>
  <sheetViews>
    <sheetView workbookViewId="0">
      <selection activeCell="R15" sqref="R15"/>
    </sheetView>
  </sheetViews>
  <sheetFormatPr defaultRowHeight="15" x14ac:dyDescent="0.25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49448CE-30CE-4F23-9898-D45152B3A7B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Pivot_Accidents</vt:lpstr>
      <vt:lpstr>Cleaned_Accidents</vt:lpstr>
      <vt:lpstr>Pivot_Fatalities</vt:lpstr>
      <vt:lpstr>Cleaned_Fatalities</vt:lpstr>
      <vt:lpstr>Pivot_Collisions</vt:lpstr>
      <vt:lpstr>Cleaned_Collisions</vt:lpstr>
      <vt:lpstr>Analysis</vt:lpstr>
      <vt:lpstr>SQL_Charts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Amareswara Reddy</dc:creator>
  <cp:lastModifiedBy>Amareswara Reddy Durgam</cp:lastModifiedBy>
  <dcterms:created xsi:type="dcterms:W3CDTF">2015-06-05T18:17:20Z</dcterms:created>
  <dcterms:modified xsi:type="dcterms:W3CDTF">2026-10-21T16:56:19Z</dcterms:modified>
</cp:coreProperties>
</file>